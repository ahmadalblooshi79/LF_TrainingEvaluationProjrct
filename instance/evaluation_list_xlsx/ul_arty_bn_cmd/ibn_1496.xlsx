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C1938B9-641A-0046-A40D-B773981AD562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4" i="2"/>
  <c r="H34" i="2"/>
  <c r="G35" i="2"/>
  <c r="H35" i="2"/>
  <c r="G36" i="2"/>
  <c r="H36" i="2"/>
  <c r="G37" i="2"/>
  <c r="H37" i="2"/>
  <c r="F38" i="2"/>
  <c r="E38" i="2"/>
  <c r="E39" i="2"/>
  <c r="E40" i="2"/>
</calcChain>
</file>

<file path=xl/sharedStrings.xml><?xml version="1.0" encoding="utf-8"?>
<sst xmlns="http://schemas.openxmlformats.org/spreadsheetml/2006/main" count="267" uniqueCount="211">
  <si>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</si>
  <si>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</si>
  <si>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</si>
  <si>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</si>
  <si>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</si>
  <si>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</si>
  <si>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</si>
  <si>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</si>
  <si>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</si>
  <si>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</si>
  <si>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</si>
  <si>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</si>
  <si>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</si>
  <si>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</si>
  <si>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</si>
  <si>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</si>
  <si>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</si>
  <si>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</si>
  <si>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</si>
  <si>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</si>
  <si>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</si>
  <si>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</si>
  <si>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</si>
  <si>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</si>
  <si>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</si>
  <si>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</si>
  <si>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</si>
  <si>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</si>
  <si>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</si>
  <si>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</si>
  <si>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</si>
  <si>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</si>
  <si>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</si>
  <si>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</si>
  <si>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</si>
  <si>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</si>
  <si>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</si>
  <si>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</si>
  <si>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</si>
  <si>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</si>
  <si>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</si>
  <si>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</si>
  <si>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</si>
  <si>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</si>
  <si>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</si>
  <si>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</si>
  <si>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</si>
  <si>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</si>
  <si>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</si>
  <si>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</si>
  <si>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</si>
  <si>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</si>
  <si>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</si>
  <si>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</si>
  <si>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</si>
  <si>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</si>
  <si>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</si>
  <si>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</si>
  <si>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</si>
  <si>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</si>
  <si>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</si>
  <si>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</si>
  <si>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</si>
  <si>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</si>
  <si>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</si>
  <si>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</si>
  <si>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</si>
  <si>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</si>
  <si>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</si>
  <si>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</si>
  <si>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</si>
  <si>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</si>
  <si>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</si>
  <si>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</si>
  <si>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</si>
  <si>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</si>
  <si>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</si>
  <si>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</si>
  <si>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</si>
  <si>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</si>
  <si>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</si>
  <si>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</si>
  <si>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</si>
  <si>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</si>
  <si>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</si>
  <si>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</si>
  <si>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</si>
  <si>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</si>
  <si>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</si>
  <si>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</si>
  <si>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</si>
  <si>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</si>
  <si>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</si>
  <si>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</si>
  <si>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</si>
  <si>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</si>
  <si>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</si>
  <si>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</si>
  <si>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</si>
  <si>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</si>
  <si>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</si>
  <si>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</si>
  <si>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</si>
  <si>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</si>
  <si>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</si>
  <si>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</si>
  <si>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</si>
  <si>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</si>
  <si>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</si>
  <si>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</si>
  <si>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</si>
  <si>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</si>
  <si>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</si>
  <si>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</si>
  <si>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</si>
  <si>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</si>
  <si>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</si>
  <si>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</si>
  <si>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</si>
  <si>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</si>
  <si>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</si>
  <si>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</si>
  <si>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</si>
  <si>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</si>
  <si>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</si>
  <si>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</si>
  <si>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</si>
  <si>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</si>
  <si>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</si>
  <si>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</si>
  <si>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</si>
  <si>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</si>
  <si>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</si>
  <si>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</si>
  <si>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</si>
  <si>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</si>
  <si>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</si>
  <si>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</si>
  <si>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</si>
  <si>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</si>
  <si>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</si>
  <si>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</si>
  <si>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</si>
  <si>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</si>
  <si>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</si>
  <si>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</si>
  <si>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</si>
  <si>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</si>
  <si>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</si>
  <si>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</si>
  <si>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</si>
  <si>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</si>
  <si>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</si>
  <si>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</si>
  <si>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</si>
  <si>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</si>
  <si>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</si>
  <si>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</si>
  <si>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</si>
  <si>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</si>
  <si>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</si>
  <si>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</si>
  <si>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</si>
  <si>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</si>
  <si>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</si>
  <si>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</si>
  <si>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</si>
  <si>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</si>
  <si>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</si>
  <si>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</si>
  <si>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</si>
  <si>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</si>
  <si>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</si>
  <si>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</si>
  <si>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</si>
  <si>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</si>
  <si>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</si>
  <si>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</si>
  <si>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</si>
  <si>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</si>
  <si>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تقييم التنقل الإداري لكتيبة المدفعية - تمرين جاهزية مجموعة لواء الإمارات/1 (جندي الصحراء 2025/20)
</t>
  </si>
  <si>
    <t>توفر التعليمات والأوامر الضرورية للتنقـل مع قائـد القافلة، وتشمل:</t>
  </si>
  <si>
    <r>
      <t xml:space="preserve">1. </t>
    </r>
    <r>
      <rPr>
        <sz val="12"/>
        <color rgb="FF000000"/>
        <rFont val="Arial"/>
        <family val="2"/>
      </rPr>
      <t xml:space="preserve">وجود </t>
    </r>
    <r>
      <rPr>
        <sz val="12"/>
        <color theme="1"/>
        <rFont val="Arial"/>
        <family val="2"/>
      </rPr>
      <t>الأمر / برقية إعطاء الموافقة بالتحرك من المستوى الأعلـى.</t>
    </r>
  </si>
  <si>
    <t>2. وجود أمـر التنقل ودقة البيانات الواردة به.</t>
  </si>
  <si>
    <t>3. وجود جدول التنقل ودقة البيانات الواردة به.</t>
  </si>
  <si>
    <t>4. وجود يومية التحرك ودقة البيانات الواردة بها.</t>
  </si>
  <si>
    <t>5. مدى التقيد بالتوقيتات، الوقفات، السرعة، الكثافة، الطرق ونقاط السيطرة).</t>
  </si>
  <si>
    <t>6. مدى إلمام قائد القافلة (بالأوامر الصادرة في أمر / جدول / يومية التحرك مخطط / التنقل، المواقف الطارئة مثل إلغاء أو تأخير حركة القافلة).</t>
  </si>
  <si>
    <t>7. التأكد من جاهزيـة الضباط والأفــراد من حيث. (الأسلحـة الشخصيـة، اللبـاس، البطاقة والرخـص العسكرية، بطاقة الطريق لكل قائد آلية، وسيلة إضاءة مع كل سائق، القلادة المعدنيـة).</t>
  </si>
  <si>
    <t>8. وجود أفراد حراسة مع القافلة حسب التعليمات.</t>
  </si>
  <si>
    <t>9. التأكد من التنسيـق مـع الشرطـة العسكرية.</t>
  </si>
  <si>
    <t>الشـرطة العسكرية</t>
  </si>
  <si>
    <t>10. وجود برقية إخطار الشرطة العسكرية بالتحرك صادرة من المستوى الأعلى.</t>
  </si>
  <si>
    <t>11. التأكد من التنسيق مع الشرطة المدينة حول التحرك من قبل الشرطة العسكرية.</t>
  </si>
  <si>
    <t>12. التأكد من عدم السماح للسيارة المدينة بالدخول بين آليات القافلة العسكرية.</t>
  </si>
  <si>
    <t>13. التأكد من جاهزية الأفراد والآليات من حيث (عدد الأفراد / الآليات، التسليح، الاتصالات، اللباس).</t>
  </si>
  <si>
    <r>
      <t>جاهزية آليات القافلة</t>
    </r>
    <r>
      <rPr>
        <b/>
        <sz val="12"/>
        <color theme="1"/>
        <rFont val="Arial"/>
        <family val="2"/>
      </rPr>
      <t xml:space="preserve">، </t>
    </r>
    <r>
      <rPr>
        <sz val="12"/>
        <color theme="1"/>
        <rFont val="Arial"/>
        <family val="2"/>
      </rPr>
      <t>من حيـث:</t>
    </r>
  </si>
  <si>
    <t>14.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</si>
  <si>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15. وجود عدة الآلية، جدول التحميل / الركوب لكل آلية.</t>
  </si>
  <si>
    <t>16. مدى صلاحية وجاهزية الآليات من حيث (الوقود، المياه، الإطار الاحتياطي، غطاء التمويه مع الركائز).</t>
  </si>
  <si>
    <t>17. التأكد من عدم تحميل الآليات أكثر من حمولتها أو وضع حمولة غير مرتبة بحيث توحي بأنها محملة أكثر من حمولتها.</t>
  </si>
  <si>
    <t>18. التأكد من تحميل ثلث ذخيرة الخط الأول لجميع الأصناف في صناديق (أثناء التنقل لتنفيذ التمارين الخارجية) مع وجود سند صرف لاستلام الذخائر.</t>
  </si>
  <si>
    <t>19. التأكد من تغطية حمولة الآليات (الأسلحة، الذخائر، معدات عسكرية) ومدى صلاحية الأغطية وتثبيتها.</t>
  </si>
  <si>
    <r>
      <t>عند تحميل أي ذخيرة في القافلة</t>
    </r>
    <r>
      <rPr>
        <b/>
        <sz val="12"/>
        <color theme="1"/>
        <rFont val="Arial"/>
        <family val="2"/>
      </rPr>
      <t xml:space="preserve">، </t>
    </r>
    <r>
      <rPr>
        <sz val="12"/>
        <color theme="1"/>
        <rFont val="Arial"/>
        <family val="2"/>
      </rPr>
      <t>يتم توفير الآتي:</t>
    </r>
  </si>
  <si>
    <t>20. وجود سيارة إطفاء والتأكد من جاهزيتها وصلاحيتها وكفاءة طاقمها.</t>
  </si>
  <si>
    <t>21. وجود أفراد حراسة مع السلاح الشخصي والذخيرة المقررة للحراسة وملمين بواجباتهم وموزعين على القافلة.</t>
  </si>
  <si>
    <t>الشؤون الإدارية</t>
  </si>
  <si>
    <t>22. توفر الإعاشة أثناء التنقـل.</t>
  </si>
  <si>
    <t>23. وجود سيارة إسعاف مع طبيب / ممرضة أو ممرض قانوني بكامل التجهيزات.</t>
  </si>
  <si>
    <t>24. وجود آلية إنقاذ مع فريق (ميكانيكي، كهربائي حسب نوع الآليات المتنقلة) وإلمام الفريق بتشغيل وسيلة الإنقـاذ.</t>
  </si>
  <si>
    <t>25. وجود آلية قطر احتياط لأليات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</si>
</sst>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vertical="center" wrapText="1"/>
    </xf>
    <xf numFmtId="0" fontId="2" fillId="0" borderId="3" xfId="0" applyFont="1" applyBorder="1" applyAlignment="1" applyProtection="1">
      <alignment horizontal="center" vertical="center" wrapText="1" readingOrder="2"/>
    </xf>
    <xf numFmtId="0" fontId="2" fillId="0" borderId="12" xfId="0" applyFont="1" applyBorder="1" applyAlignment="1" applyProtection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</xf>
    <xf numFmtId="0" fontId="2" fillId="0" borderId="4" xfId="0" applyFont="1" applyBorder="1" applyAlignment="1" applyProtection="1">
      <alignment vertical="center" wrapText="1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15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 applyProtection="1">
      <alignment horizontal="right" vertical="center" wrapText="1" readingOrder="2"/>
    </xf>
    <xf numFmtId="0" fontId="12" fillId="0" borderId="12" xfId="0" applyFont="1" applyBorder="1" applyAlignment="1" applyProtection="1">
      <alignment horizontal="right" vertical="center" wrapText="1" readingOrder="2"/>
    </xf>
    <xf numFmtId="0" fontId="14" fillId="0" borderId="5" xfId="0" applyFont="1" applyBorder="1" applyAlignment="1" applyProtection="1">
      <alignment horizontal="right" vertical="center" wrapText="1" readingOrder="2"/>
    </xf>
    <xf numFmtId="0" fontId="14" fillId="0" borderId="4" xfId="0" applyFont="1" applyBorder="1" applyAlignment="1" applyProtection="1">
      <alignment horizontal="right" vertical="center" wrapText="1" readingOrder="2"/>
    </xf>
    <xf numFmtId="0" fontId="12" fillId="0" borderId="23" xfId="0" applyFont="1" applyBorder="1" applyAlignment="1" applyProtection="1">
      <alignment horizontal="right" vertical="center" wrapText="1" readingOrder="2"/>
    </xf>
    <xf numFmtId="0" fontId="12" fillId="0" borderId="3" xfId="0" applyFont="1" applyBorder="1" applyAlignment="1" applyProtection="1">
      <alignment horizontal="right" vertical="center" wrapText="1" readingOrder="2"/>
    </xf>
    <xf numFmtId="0" fontId="13" fillId="0" borderId="11" xfId="0" applyFont="1" applyBorder="1" applyAlignment="1" applyProtection="1">
      <alignment horizontal="right" vertical="center" wrapText="1" readingOrder="2"/>
    </xf>
    <xf numFmtId="0" fontId="13" fillId="0" borderId="12" xfId="0" applyFont="1" applyBorder="1" applyAlignment="1" applyProtection="1">
      <alignment horizontal="right" vertical="center" wrapText="1" readingOrder="2"/>
    </xf>
    <xf numFmtId="0" fontId="1" fillId="0" borderId="5" xfId="0" applyFont="1" applyBorder="1" applyAlignment="1" applyProtection="1">
      <alignment horizontal="right" vertical="center" wrapText="1" readingOrder="2"/>
    </xf>
    <xf numFmtId="0" fontId="1" fillId="0" borderId="4" xfId="0" applyFont="1" applyBorder="1" applyAlignment="1" applyProtection="1">
      <alignment horizontal="right" vertical="center" wrapText="1" readingOrder="2"/>
    </xf>
    <xf numFmtId="0" fontId="13" fillId="0" borderId="23" xfId="0" applyFont="1" applyBorder="1" applyAlignment="1" applyProtection="1">
      <alignment horizontal="right" vertical="center" wrapText="1" readingOrder="2"/>
    </xf>
    <xf numFmtId="0" fontId="13" fillId="0" borderId="3" xfId="0" applyFont="1" applyBorder="1" applyAlignment="1" applyProtection="1">
      <alignment horizontal="right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33</xdr:row>
      <xdr:rowOff>676275</xdr:rowOff>
    </xdr:from>
    <xdr:to>
      <xdr:col>3</xdr:col>
      <xdr:colOff>457200</xdr:colOff>
      <xdr:row>33</xdr:row>
      <xdr:rowOff>923925</xdr:rowOff>
    </xdr:to>
    <xdr:sp macro="" textlink="">
      <xdr:nvSpPr>
        <xdr:cNvPr id="2" name="Text Box 5634">
          <a:extLst>
            <a:ext uri="{FF2B5EF4-FFF2-40B4-BE49-F238E27FC236}">
              <a16:creationId xmlns:a16="http://schemas.microsoft.com/office/drawing/2014/main" id="{91F201FD-697F-4773-B3B8-B4270B4AB0CE}"/>
            </a:ext>
          </a:extLst>
        </xdr:cNvPr>
        <xdr:cNvSpPr txBox="1">
          <a:spLocks noChangeArrowheads="1"/>
        </xdr:cNvSpPr>
      </xdr:nvSpPr>
      <xdr:spPr bwMode="auto">
        <a:xfrm>
          <a:off x="11235651900" y="13611225"/>
          <a:ext cx="4286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r" rtl="1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HeshamNormal"/>
            </a:rPr>
            <a:t>35</a:t>
          </a:r>
        </a:p>
      </xdr:txBody>
    </xdr:sp>
    <xdr:clientData/>
  </xdr:twoCellAnchor>
  <xdr:twoCellAnchor editAs="oneCell">
    <xdr:from>
      <xdr:col>7</xdr:col>
      <xdr:colOff>449827</xdr:colOff>
      <xdr:row>40</xdr:row>
      <xdr:rowOff>345705</xdr:rowOff>
    </xdr:from>
    <xdr:to>
      <xdr:col>8</xdr:col>
      <xdr:colOff>536936</xdr:colOff>
      <xdr:row>41</xdr:row>
      <xdr:rowOff>625335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CBFA189-C531-812A-8AA3-0A2F433F6496}"/>
                </a:ext>
              </a:extLst>
            </xdr14:cNvPr>
            <xdr14:cNvContentPartPr/>
          </xdr14:nvContentPartPr>
          <xdr14:nvPr macro=""/>
          <xdr14:xfrm>
            <a:off x="10398707973" y="17606160"/>
            <a:ext cx="745200" cy="8107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CBFA189-C531-812A-8AA3-0A2F433F649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98973" y="17597520"/>
              <a:ext cx="762840" cy="828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05:14:47.6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2069 1464,'0'0,"0"0,0 0,0 0,0 0,0 0,0 0,0 0,0 0,0 0,-16 16,12-12,-8 8,-20 4,28-14,-24 28,-52 3,71-30,-79 42,-24 3,102-44,-108 56,-43-28,146-29,-114 42,-31-13,146-29,-84 10,-31 3,117-14,-72-20,20 2,57 14,-50-28,25-34,28 58,-24-100,28-23,0 116,15-118,18-29,-30 143,58-143,19-32,-71 171,94-135,25-4,-112 141,81-74,-1 13,-85 71,58-46,-5 6,-57 44,34 10,-9-5,-28 0,8 49,-44 63,29-99,-74 118,-19 46,84-156,-104 166,-45 37,142-197,-154 187,-19 43,169-227,-131 164,-22-18,153-153,-50 67,-8-10,71-69,-12 10,38-5,-13-14,107-84,18-30,-111 96,126-97,34-47,-153 138,128-116,40-23,-163 137,119-112,-4 8,-123 109,22-43,5 14,-41 41,2-18,-25 25,14 0,-60 16,-50 48,96-55,-112 47,-17-8,126-42,-106 52,-35 22,138-69,-101 42,-5 11,111-55,-78 14,47 9,41-27,-18-10,8-11,15 14,53-76,45-34,-82 96,100-96,31-49,-125 138,136-130,36-23,-165 151,155-143,10-8,-164 150,104-77,-19 23,-97 69,48-42,0 21,-56 28,16 24,-24 12,0-28,-48 88,0 53,41-125,-82 136,25 20,54-150,-77 141,-25 57,96-191,-80 159,0 32,82-191,-36 79,1-16,42-81,-18 50,9-1,14-54,4 12,14-6,-13-13,26-22,4 3,-29 14,40-28,20-18,-54 41,60-50,-6-7,-55 54,62-44,-23-10,-40 54,49-29,-25-25,-27 55,22-14,-11-9,-14 27,-4-6,2 10,0-14,0 14,16 2,-8-1,-32 16,24 0,0-14,0 12,0 2,0-13,0 10,0 3,0-13,16 26,0 3,-14-27,12 22,18 6,-27-29,22 40,5-12,-27-27,38 54,5-11,-41-41,18 50,7-9,-27-41,23 34,3 23,-25-54,5 45,-11-55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2"/>
  <sheetViews>
    <sheetView rightToLeft="1" tabSelected="1" view="pageBreakPreview" topLeftCell="D26" zoomScale="130" zoomScaleNormal="100" zoomScaleSheetLayoutView="130" workbookViewId="0">
      <selection activeCell="F24" sqref="F2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2" t="s">
        <v>180</v>
      </c>
      <c r="C1" s="72"/>
      <c r="D1" s="72"/>
      <c r="E1" s="72"/>
      <c r="F1" s="72"/>
      <c r="G1" s="72"/>
      <c r="H1" s="72"/>
      <c r="I1" s="72"/>
      <c r="J1" s="72"/>
    </row>
    <row r="2" spans="1:10" ht="30" customHeight="1" x14ac:dyDescent="0.2">
      <c r="B2" s="11" t="s">
        <v>8</v>
      </c>
      <c r="C2" s="78" t="s">
        <v>48</v>
      </c>
      <c r="D2" s="78"/>
      <c r="E2" s="11" t="s">
        <v>7</v>
      </c>
      <c r="F2" s="73">
        <v>45935</v>
      </c>
      <c r="G2" s="73"/>
      <c r="H2" s="73"/>
      <c r="I2" s="73"/>
      <c r="J2" s="73"/>
    </row>
    <row r="3" spans="1:10" ht="30" customHeight="1" x14ac:dyDescent="0.2">
      <c r="B3" s="11" t="s">
        <v>9</v>
      </c>
      <c r="C3" s="78" t="s">
        <v>68</v>
      </c>
      <c r="D3" s="78"/>
      <c r="E3" s="11" t="s">
        <v>6</v>
      </c>
      <c r="F3" s="78" t="s">
        <v>114</v>
      </c>
      <c r="G3" s="78"/>
      <c r="H3" s="78"/>
      <c r="I3" s="78"/>
      <c r="J3" s="78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74" t="s">
        <v>0</v>
      </c>
      <c r="C5" s="75"/>
      <c r="D5" s="75"/>
      <c r="E5" s="83" t="s">
        <v>1</v>
      </c>
      <c r="F5" s="83"/>
      <c r="G5" s="83"/>
      <c r="H5" s="83"/>
      <c r="I5" s="83" t="s">
        <v>2</v>
      </c>
      <c r="J5" s="84"/>
    </row>
    <row r="6" spans="1:10" ht="24.95" customHeight="1" thickBot="1" x14ac:dyDescent="0.25">
      <c r="A6" s="9"/>
      <c r="B6" s="76"/>
      <c r="C6" s="77"/>
      <c r="D6" s="77"/>
      <c r="E6" s="10" t="s">
        <v>3</v>
      </c>
      <c r="F6" s="10" t="s">
        <v>4</v>
      </c>
      <c r="G6" s="10" t="s">
        <v>23</v>
      </c>
      <c r="H6" s="10" t="s">
        <v>24</v>
      </c>
      <c r="I6" s="85"/>
      <c r="J6" s="86"/>
    </row>
    <row r="7" spans="1:10" ht="24.95" customHeight="1" thickBot="1" x14ac:dyDescent="0.25">
      <c r="A7" s="9"/>
      <c r="B7" s="81" t="s">
        <v>21</v>
      </c>
      <c r="C7" s="82"/>
      <c r="D7" s="82"/>
      <c r="E7" s="34" t="s">
        <v>18</v>
      </c>
      <c r="F7" s="34" t="s">
        <v>19</v>
      </c>
      <c r="G7" s="34" t="s">
        <v>22</v>
      </c>
      <c r="H7" s="34" t="s">
        <v>20</v>
      </c>
      <c r="I7" s="87" t="s">
        <v>25</v>
      </c>
      <c r="J7" s="88"/>
    </row>
    <row r="8" spans="1:10" ht="30" customHeight="1" x14ac:dyDescent="0.2">
      <c r="A8" s="9"/>
      <c r="B8" s="52" t="s">
        <v>181</v>
      </c>
      <c r="C8" s="53"/>
      <c r="D8" s="53"/>
      <c r="E8" s="28"/>
      <c r="F8" s="38"/>
      <c r="G8" s="39"/>
      <c r="H8" s="40"/>
      <c r="I8" s="64"/>
      <c r="J8" s="65"/>
    </row>
    <row r="9" spans="1:10" ht="30" customHeight="1" x14ac:dyDescent="0.2">
      <c r="A9" s="9"/>
      <c r="B9" s="54" t="s">
        <v>182</v>
      </c>
      <c r="C9" s="55"/>
      <c r="D9" s="55"/>
      <c r="E9" s="29">
        <v>5</v>
      </c>
      <c r="F9" s="25">
        <v>4</v>
      </c>
      <c r="G9" s="36">
        <f>IFERROR(F9/E9,"")</f>
        <v>0.8</v>
      </c>
      <c r="H9" s="37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60"/>
      <c r="J9" s="61"/>
    </row>
    <row r="10" spans="1:10" ht="30" customHeight="1" x14ac:dyDescent="0.2">
      <c r="A10" s="9"/>
      <c r="B10" s="48" t="s">
        <v>183</v>
      </c>
      <c r="C10" s="49"/>
      <c r="D10" s="49"/>
      <c r="E10" s="29">
        <v>5</v>
      </c>
      <c r="F10" s="43">
        <v>4</v>
      </c>
      <c r="G10" s="36">
        <f t="shared" ref="G10:G37" si="0">IFERROR(F10/E10,"")</f>
        <v>0.8</v>
      </c>
      <c r="H10" s="37" t="str">
        <f t="shared" ref="H10:H37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60"/>
      <c r="J10" s="61"/>
    </row>
    <row r="11" spans="1:10" ht="30" customHeight="1" x14ac:dyDescent="0.2">
      <c r="A11" s="9"/>
      <c r="B11" s="48" t="s">
        <v>184</v>
      </c>
      <c r="C11" s="49"/>
      <c r="D11" s="49"/>
      <c r="E11" s="29">
        <v>5</v>
      </c>
      <c r="F11" s="25">
        <v>3.25</v>
      </c>
      <c r="G11" s="36">
        <f t="shared" si="0"/>
        <v>0.65</v>
      </c>
      <c r="H11" s="37" t="str">
        <f t="shared" si="1"/>
        <v>مقبول</v>
      </c>
      <c r="I11" s="60"/>
      <c r="J11" s="61"/>
    </row>
    <row r="12" spans="1:10" ht="30" customHeight="1" x14ac:dyDescent="0.2">
      <c r="A12" s="9"/>
      <c r="B12" s="48" t="s">
        <v>185</v>
      </c>
      <c r="C12" s="49"/>
      <c r="D12" s="49"/>
      <c r="E12" s="29">
        <v>5</v>
      </c>
      <c r="F12" s="27">
        <v>3.5</v>
      </c>
      <c r="G12" s="36">
        <f t="shared" si="0"/>
        <v>0.7</v>
      </c>
      <c r="H12" s="37" t="str">
        <f t="shared" si="1"/>
        <v>جيد</v>
      </c>
      <c r="I12" s="60"/>
      <c r="J12" s="61"/>
    </row>
    <row r="13" spans="1:10" ht="30" customHeight="1" x14ac:dyDescent="0.2">
      <c r="A13" s="9"/>
      <c r="B13" s="54" t="s">
        <v>186</v>
      </c>
      <c r="C13" s="55"/>
      <c r="D13" s="55"/>
      <c r="E13" s="31">
        <v>20</v>
      </c>
      <c r="F13" s="27">
        <v>15.5</v>
      </c>
      <c r="G13" s="36">
        <f t="shared" si="0"/>
        <v>0.77500000000000002</v>
      </c>
      <c r="H13" s="37" t="str">
        <f t="shared" si="1"/>
        <v>جيد</v>
      </c>
      <c r="I13" s="60"/>
      <c r="J13" s="61"/>
    </row>
    <row r="14" spans="1:10" ht="39.950000000000003" customHeight="1" x14ac:dyDescent="0.2">
      <c r="A14" s="9"/>
      <c r="B14" s="48" t="s">
        <v>187</v>
      </c>
      <c r="C14" s="49"/>
      <c r="D14" s="49"/>
      <c r="E14" s="29">
        <v>10</v>
      </c>
      <c r="F14" s="25">
        <v>7</v>
      </c>
      <c r="G14" s="36">
        <f t="shared" si="0"/>
        <v>0.7</v>
      </c>
      <c r="H14" s="37" t="str">
        <f t="shared" si="1"/>
        <v>جيد</v>
      </c>
      <c r="I14" s="60"/>
      <c r="J14" s="61"/>
    </row>
    <row r="15" spans="1:10" ht="50.1" customHeight="1" x14ac:dyDescent="0.2">
      <c r="A15" s="9"/>
      <c r="B15" s="48" t="s">
        <v>188</v>
      </c>
      <c r="C15" s="49"/>
      <c r="D15" s="49"/>
      <c r="E15" s="29">
        <v>10</v>
      </c>
      <c r="F15" s="25">
        <v>7</v>
      </c>
      <c r="G15" s="36">
        <f t="shared" si="0"/>
        <v>0.7</v>
      </c>
      <c r="H15" s="37" t="str">
        <f t="shared" si="1"/>
        <v>جيد</v>
      </c>
      <c r="I15" s="60"/>
      <c r="J15" s="61"/>
    </row>
    <row r="16" spans="1:10" ht="30" customHeight="1" x14ac:dyDescent="0.2">
      <c r="A16" s="9"/>
      <c r="B16" s="48" t="s">
        <v>189</v>
      </c>
      <c r="C16" s="49"/>
      <c r="D16" s="49"/>
      <c r="E16" s="29">
        <v>10</v>
      </c>
      <c r="F16" s="25">
        <v>7.75</v>
      </c>
      <c r="G16" s="36">
        <f t="shared" si="0"/>
        <v>0.77500000000000002</v>
      </c>
      <c r="H16" s="37" t="str">
        <f t="shared" si="1"/>
        <v>جيد</v>
      </c>
      <c r="I16" s="60"/>
      <c r="J16" s="61"/>
    </row>
    <row r="17" spans="1:10" ht="30" customHeight="1" thickBot="1" x14ac:dyDescent="0.25">
      <c r="A17" s="9"/>
      <c r="B17" s="44" t="s">
        <v>190</v>
      </c>
      <c r="C17" s="45"/>
      <c r="D17" s="45"/>
      <c r="E17" s="30">
        <v>5</v>
      </c>
      <c r="F17" s="26">
        <v>4</v>
      </c>
      <c r="G17" s="41">
        <f t="shared" si="0"/>
        <v>0.8</v>
      </c>
      <c r="H17" s="42" t="str">
        <f t="shared" si="1"/>
        <v>جيد جداً</v>
      </c>
      <c r="I17" s="62"/>
      <c r="J17" s="63"/>
    </row>
    <row r="18" spans="1:10" ht="30" customHeight="1" x14ac:dyDescent="0.2">
      <c r="A18" s="9"/>
      <c r="B18" s="46" t="s">
        <v>191</v>
      </c>
      <c r="C18" s="47"/>
      <c r="D18" s="47"/>
      <c r="E18" s="28"/>
      <c r="F18" s="38"/>
      <c r="G18" s="39"/>
      <c r="H18" s="40"/>
      <c r="I18" s="64"/>
      <c r="J18" s="65"/>
    </row>
    <row r="19" spans="1:10" ht="39.950000000000003" customHeight="1" x14ac:dyDescent="0.2">
      <c r="A19" s="9"/>
      <c r="B19" s="54" t="s">
        <v>192</v>
      </c>
      <c r="C19" s="55"/>
      <c r="D19" s="55"/>
      <c r="E19" s="29">
        <v>5</v>
      </c>
      <c r="F19" s="25">
        <v>4</v>
      </c>
      <c r="G19" s="36">
        <f t="shared" si="0"/>
        <v>0.8</v>
      </c>
      <c r="H19" s="37" t="str">
        <f t="shared" si="1"/>
        <v>جيد جداً</v>
      </c>
      <c r="I19" s="60"/>
      <c r="J19" s="61"/>
    </row>
    <row r="20" spans="1:10" ht="39.950000000000003" customHeight="1" x14ac:dyDescent="0.2">
      <c r="A20" s="9"/>
      <c r="B20" s="48" t="s">
        <v>193</v>
      </c>
      <c r="C20" s="49"/>
      <c r="D20" s="49"/>
      <c r="E20" s="29">
        <v>5</v>
      </c>
      <c r="F20" s="25">
        <v>3.5</v>
      </c>
      <c r="G20" s="36">
        <f t="shared" si="0"/>
        <v>0.7</v>
      </c>
      <c r="H20" s="37" t="str">
        <f t="shared" si="1"/>
        <v>جيد</v>
      </c>
      <c r="I20" s="60"/>
      <c r="J20" s="61"/>
    </row>
    <row r="21" spans="1:10" ht="39.950000000000003" customHeight="1" x14ac:dyDescent="0.2">
      <c r="A21" s="9"/>
      <c r="B21" s="48" t="s">
        <v>194</v>
      </c>
      <c r="C21" s="49"/>
      <c r="D21" s="49"/>
      <c r="E21" s="29">
        <v>5</v>
      </c>
      <c r="F21" s="25">
        <v>3.25</v>
      </c>
      <c r="G21" s="36">
        <f t="shared" si="0"/>
        <v>0.65</v>
      </c>
      <c r="H21" s="37" t="str">
        <f t="shared" si="1"/>
        <v>مقبول</v>
      </c>
      <c r="I21" s="60"/>
      <c r="J21" s="61"/>
    </row>
    <row r="22" spans="1:10" ht="39.950000000000003" customHeight="1" thickBot="1" x14ac:dyDescent="0.25">
      <c r="A22" s="9"/>
      <c r="B22" s="44" t="s">
        <v>195</v>
      </c>
      <c r="C22" s="45"/>
      <c r="D22" s="45"/>
      <c r="E22" s="30">
        <v>5</v>
      </c>
      <c r="F22" s="26">
        <v>3.5</v>
      </c>
      <c r="G22" s="41">
        <f t="shared" si="0"/>
        <v>0.7</v>
      </c>
      <c r="H22" s="42" t="str">
        <f t="shared" si="1"/>
        <v>جيد</v>
      </c>
      <c r="I22" s="62"/>
      <c r="J22" s="63"/>
    </row>
    <row r="23" spans="1:10" ht="30" customHeight="1" x14ac:dyDescent="0.2">
      <c r="A23" s="9"/>
      <c r="B23" s="46" t="s">
        <v>196</v>
      </c>
      <c r="C23" s="47"/>
      <c r="D23" s="47"/>
      <c r="E23" s="28"/>
      <c r="F23" s="38"/>
      <c r="G23" s="39"/>
      <c r="H23" s="40"/>
      <c r="I23" s="64"/>
      <c r="J23" s="65"/>
    </row>
    <row r="24" spans="1:10" ht="50.1" customHeight="1" x14ac:dyDescent="0.2">
      <c r="A24" s="9"/>
      <c r="B24" s="48" t="s">
        <v>197</v>
      </c>
      <c r="C24" s="49"/>
      <c r="D24" s="49"/>
      <c r="E24" s="29">
        <v>5</v>
      </c>
      <c r="F24" s="25">
        <v>3.75</v>
      </c>
      <c r="G24" s="36">
        <f t="shared" si="0"/>
        <v>0.75</v>
      </c>
      <c r="H24" s="37" t="str">
        <f t="shared" si="1"/>
        <v>جيد</v>
      </c>
      <c r="I24" s="60"/>
      <c r="J24" s="61"/>
    </row>
    <row r="25" spans="1:10" ht="30" customHeight="1" x14ac:dyDescent="0.2">
      <c r="A25" s="9"/>
      <c r="B25" s="48" t="s">
        <v>198</v>
      </c>
      <c r="C25" s="49"/>
      <c r="D25" s="49"/>
      <c r="E25" s="29">
        <v>5</v>
      </c>
      <c r="F25" s="25">
        <v>3.5</v>
      </c>
      <c r="G25" s="36">
        <f t="shared" si="0"/>
        <v>0.7</v>
      </c>
      <c r="H25" s="37" t="str">
        <f t="shared" si="1"/>
        <v>جيد</v>
      </c>
      <c r="I25" s="60"/>
      <c r="J25" s="61"/>
    </row>
    <row r="26" spans="1:10" ht="39.950000000000003" customHeight="1" x14ac:dyDescent="0.2">
      <c r="A26" s="9"/>
      <c r="B26" s="48" t="s">
        <v>199</v>
      </c>
      <c r="C26" s="49"/>
      <c r="D26" s="49"/>
      <c r="E26" s="29">
        <v>5</v>
      </c>
      <c r="F26" s="25">
        <v>3.5</v>
      </c>
      <c r="G26" s="36">
        <f t="shared" si="0"/>
        <v>0.7</v>
      </c>
      <c r="H26" s="37" t="str">
        <f t="shared" si="1"/>
        <v>جيد</v>
      </c>
      <c r="I26" s="60"/>
      <c r="J26" s="61"/>
    </row>
    <row r="27" spans="1:10" ht="39.950000000000003" customHeight="1" x14ac:dyDescent="0.2">
      <c r="A27" s="9"/>
      <c r="B27" s="48" t="s">
        <v>200</v>
      </c>
      <c r="C27" s="49"/>
      <c r="D27" s="49"/>
      <c r="E27" s="29">
        <v>5</v>
      </c>
      <c r="F27" s="25">
        <v>4</v>
      </c>
      <c r="G27" s="36">
        <f t="shared" si="0"/>
        <v>0.8</v>
      </c>
      <c r="H27" s="37" t="str">
        <f t="shared" si="1"/>
        <v>جيد جداً</v>
      </c>
      <c r="I27" s="60"/>
      <c r="J27" s="61"/>
    </row>
    <row r="28" spans="1:10" ht="39.950000000000003" customHeight="1" x14ac:dyDescent="0.2">
      <c r="A28" s="9"/>
      <c r="B28" s="48" t="s">
        <v>201</v>
      </c>
      <c r="C28" s="49"/>
      <c r="D28" s="49"/>
      <c r="E28" s="31">
        <v>10</v>
      </c>
      <c r="F28" s="25">
        <v>7</v>
      </c>
      <c r="G28" s="36">
        <f t="shared" si="0"/>
        <v>0.7</v>
      </c>
      <c r="H28" s="37" t="str">
        <f t="shared" si="1"/>
        <v>جيد</v>
      </c>
      <c r="I28" s="60"/>
      <c r="J28" s="61"/>
    </row>
    <row r="29" spans="1:10" ht="39.950000000000003" customHeight="1" thickBot="1" x14ac:dyDescent="0.25">
      <c r="A29" s="9"/>
      <c r="B29" s="44" t="s">
        <v>202</v>
      </c>
      <c r="C29" s="45"/>
      <c r="D29" s="45"/>
      <c r="E29" s="32">
        <v>5</v>
      </c>
      <c r="F29" s="26">
        <v>4</v>
      </c>
      <c r="G29" s="41">
        <f t="shared" si="0"/>
        <v>0.8</v>
      </c>
      <c r="H29" s="42" t="str">
        <f t="shared" si="1"/>
        <v>جيد جداً</v>
      </c>
      <c r="I29" s="62"/>
      <c r="J29" s="63"/>
    </row>
    <row r="30" spans="1:10" ht="30" customHeight="1" x14ac:dyDescent="0.2">
      <c r="A30" s="9"/>
      <c r="B30" s="46" t="s">
        <v>203</v>
      </c>
      <c r="C30" s="47"/>
      <c r="D30" s="47"/>
      <c r="E30" s="28"/>
      <c r="F30" s="38"/>
      <c r="G30" s="39"/>
      <c r="H30" s="40"/>
      <c r="I30" s="64"/>
      <c r="J30" s="65"/>
    </row>
    <row r="31" spans="1:10" ht="30" customHeight="1" x14ac:dyDescent="0.2">
      <c r="A31" s="9"/>
      <c r="B31" s="48" t="s">
        <v>204</v>
      </c>
      <c r="C31" s="49"/>
      <c r="D31" s="49"/>
      <c r="E31" s="29">
        <v>8</v>
      </c>
      <c r="F31" s="25">
        <v>6.25</v>
      </c>
      <c r="G31" s="36">
        <f t="shared" si="0"/>
        <v>0.78125</v>
      </c>
      <c r="H31" s="37" t="str">
        <f t="shared" si="1"/>
        <v>جيد</v>
      </c>
      <c r="I31" s="60"/>
      <c r="J31" s="61"/>
    </row>
    <row r="32" spans="1:10" ht="39.950000000000003" customHeight="1" thickBot="1" x14ac:dyDescent="0.25">
      <c r="A32" s="9"/>
      <c r="B32" s="44" t="s">
        <v>205</v>
      </c>
      <c r="C32" s="45"/>
      <c r="D32" s="45"/>
      <c r="E32" s="30">
        <v>12</v>
      </c>
      <c r="F32" s="26">
        <v>8.5</v>
      </c>
      <c r="G32" s="41">
        <f t="shared" si="0"/>
        <v>0.70833333333333337</v>
      </c>
      <c r="H32" s="42" t="str">
        <f t="shared" si="1"/>
        <v>جيد</v>
      </c>
      <c r="I32" s="62"/>
      <c r="J32" s="63"/>
    </row>
    <row r="33" spans="1:10" ht="30" customHeight="1" x14ac:dyDescent="0.2">
      <c r="A33" s="9"/>
      <c r="B33" s="52" t="s">
        <v>206</v>
      </c>
      <c r="C33" s="53"/>
      <c r="D33" s="53"/>
      <c r="E33" s="33"/>
      <c r="F33" s="38"/>
      <c r="G33" s="39"/>
      <c r="H33" s="40"/>
      <c r="I33" s="64"/>
      <c r="J33" s="65"/>
    </row>
    <row r="34" spans="1:10" ht="30" customHeight="1" x14ac:dyDescent="0.2">
      <c r="A34" s="9"/>
      <c r="B34" s="48" t="s">
        <v>207</v>
      </c>
      <c r="C34" s="49"/>
      <c r="D34" s="49"/>
      <c r="E34" s="29">
        <v>5</v>
      </c>
      <c r="F34" s="25">
        <v>3.5</v>
      </c>
      <c r="G34" s="36">
        <f t="shared" si="0"/>
        <v>0.7</v>
      </c>
      <c r="H34" s="37" t="str">
        <f t="shared" si="1"/>
        <v>جيد</v>
      </c>
      <c r="I34" s="60"/>
      <c r="J34" s="61"/>
    </row>
    <row r="35" spans="1:10" ht="39.950000000000003" customHeight="1" x14ac:dyDescent="0.2">
      <c r="A35" s="9"/>
      <c r="B35" s="48" t="s">
        <v>208</v>
      </c>
      <c r="C35" s="49"/>
      <c r="D35" s="49"/>
      <c r="E35" s="29">
        <v>5</v>
      </c>
      <c r="F35" s="25">
        <v>3.25</v>
      </c>
      <c r="G35" s="36">
        <f t="shared" si="0"/>
        <v>0.65</v>
      </c>
      <c r="H35" s="37" t="str">
        <f t="shared" si="1"/>
        <v>مقبول</v>
      </c>
      <c r="I35" s="60"/>
      <c r="J35" s="61"/>
    </row>
    <row r="36" spans="1:10" ht="39.950000000000003" customHeight="1" x14ac:dyDescent="0.2">
      <c r="A36" s="9"/>
      <c r="B36" s="48" t="s">
        <v>209</v>
      </c>
      <c r="C36" s="49"/>
      <c r="D36" s="49"/>
      <c r="E36" s="29">
        <v>5</v>
      </c>
      <c r="F36" s="25">
        <v>4</v>
      </c>
      <c r="G36" s="36">
        <f t="shared" si="0"/>
        <v>0.8</v>
      </c>
      <c r="H36" s="37" t="str">
        <f t="shared" si="1"/>
        <v>جيد جداً</v>
      </c>
      <c r="I36" s="60"/>
      <c r="J36" s="61"/>
    </row>
    <row r="37" spans="1:10" ht="30" customHeight="1" thickBot="1" x14ac:dyDescent="0.25">
      <c r="A37" s="9"/>
      <c r="B37" s="50" t="s">
        <v>210</v>
      </c>
      <c r="C37" s="51"/>
      <c r="D37" s="51"/>
      <c r="E37" s="30">
        <v>5</v>
      </c>
      <c r="F37" s="26">
        <v>4</v>
      </c>
      <c r="G37" s="41">
        <f t="shared" si="0"/>
        <v>0.8</v>
      </c>
      <c r="H37" s="42" t="str">
        <f t="shared" si="1"/>
        <v>جيد جداً</v>
      </c>
      <c r="I37" s="62"/>
      <c r="J37" s="63"/>
    </row>
    <row r="38" spans="1:10" ht="30" customHeight="1" thickBot="1" x14ac:dyDescent="0.25">
      <c r="A38" s="4"/>
      <c r="B38" s="56" t="s">
        <v>5</v>
      </c>
      <c r="C38" s="57"/>
      <c r="D38" s="57"/>
      <c r="E38" s="35">
        <f>SUM(E8:E37)</f>
        <v>170</v>
      </c>
      <c r="F38" s="35">
        <f>SUM(F8:F37)</f>
        <v>125.5</v>
      </c>
      <c r="G38" s="91"/>
      <c r="H38" s="92"/>
      <c r="I38" s="92"/>
      <c r="J38" s="93"/>
    </row>
    <row r="39" spans="1:10" ht="30" customHeight="1" thickBot="1" x14ac:dyDescent="0.25">
      <c r="A39" s="4"/>
      <c r="B39" s="58" t="s">
        <v>54</v>
      </c>
      <c r="C39" s="59"/>
      <c r="D39" s="59"/>
      <c r="E39" s="79">
        <f>F38/E38/100*100</f>
        <v>0.7382352941176471</v>
      </c>
      <c r="F39" s="79"/>
      <c r="G39" s="79"/>
      <c r="H39" s="79"/>
      <c r="I39" s="79"/>
      <c r="J39" s="80"/>
    </row>
    <row r="40" spans="1:10" ht="30" customHeight="1" thickBot="1" x14ac:dyDescent="0.25">
      <c r="A40" s="4"/>
      <c r="B40" s="58" t="s">
        <v>55</v>
      </c>
      <c r="C40" s="59"/>
      <c r="D40" s="59"/>
      <c r="E40" s="70" t="str">
        <f>_xlfn.IFS(E39&gt;=90%,"ممتاز",E39&gt;=80%,"جيد جداً",E39&gt;=70%,"جيد",E39&gt;=60%,"مقبول",E39&lt;60%,"راسب")</f>
        <v>جيد</v>
      </c>
      <c r="F40" s="70"/>
      <c r="G40" s="70"/>
      <c r="H40" s="70"/>
      <c r="I40" s="70"/>
      <c r="J40" s="71"/>
    </row>
    <row r="41" spans="1:10" ht="42" customHeight="1" x14ac:dyDescent="0.2">
      <c r="B41" s="66" t="s">
        <v>174</v>
      </c>
      <c r="C41" s="66"/>
      <c r="D41" s="66"/>
      <c r="E41" s="89" t="s">
        <v>52</v>
      </c>
      <c r="F41" s="89"/>
      <c r="G41" s="68" t="s">
        <v>114</v>
      </c>
      <c r="H41" s="68"/>
      <c r="I41" s="68"/>
      <c r="J41" s="68"/>
    </row>
    <row r="42" spans="1:10" ht="51" customHeight="1" x14ac:dyDescent="0.2">
      <c r="A42" s="5"/>
      <c r="B42" s="67"/>
      <c r="C42" s="67"/>
      <c r="D42" s="67"/>
      <c r="E42" s="90" t="s">
        <v>53</v>
      </c>
      <c r="F42" s="90"/>
      <c r="G42" s="69"/>
      <c r="H42" s="69"/>
      <c r="I42" s="69"/>
      <c r="J42" s="6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1">
    <mergeCell ref="E41:F41"/>
    <mergeCell ref="E42:F42"/>
    <mergeCell ref="G38:J38"/>
    <mergeCell ref="I9:J9"/>
    <mergeCell ref="I23:J23"/>
    <mergeCell ref="I24:J24"/>
    <mergeCell ref="I25:J25"/>
    <mergeCell ref="I26:J26"/>
    <mergeCell ref="I27:J27"/>
    <mergeCell ref="I33:J33"/>
    <mergeCell ref="I34:J34"/>
    <mergeCell ref="I35:J35"/>
    <mergeCell ref="I36:J36"/>
    <mergeCell ref="I5:J6"/>
    <mergeCell ref="I7:J7"/>
    <mergeCell ref="I10:J10"/>
    <mergeCell ref="I19:J19"/>
    <mergeCell ref="I20:J20"/>
    <mergeCell ref="I8:J8"/>
    <mergeCell ref="B41:D42"/>
    <mergeCell ref="G41:J41"/>
    <mergeCell ref="G42:J42"/>
    <mergeCell ref="E40:J40"/>
    <mergeCell ref="B1:J1"/>
    <mergeCell ref="F2:J2"/>
    <mergeCell ref="B5:D6"/>
    <mergeCell ref="C2:D2"/>
    <mergeCell ref="C3:D3"/>
    <mergeCell ref="F3:J3"/>
    <mergeCell ref="E39:J39"/>
    <mergeCell ref="B7:D7"/>
    <mergeCell ref="I30:J30"/>
    <mergeCell ref="I31:J31"/>
    <mergeCell ref="E5:H5"/>
    <mergeCell ref="I37:J37"/>
    <mergeCell ref="B39:D39"/>
    <mergeCell ref="B40:D4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1:J21"/>
    <mergeCell ref="I22:J22"/>
    <mergeCell ref="I32:J32"/>
    <mergeCell ref="B18:D18"/>
    <mergeCell ref="B19:D19"/>
    <mergeCell ref="B20:D20"/>
    <mergeCell ref="B21:D21"/>
    <mergeCell ref="B38:D38"/>
    <mergeCell ref="B13:D13"/>
    <mergeCell ref="B14:D14"/>
    <mergeCell ref="B15:D15"/>
    <mergeCell ref="B16:D16"/>
    <mergeCell ref="B17:D17"/>
    <mergeCell ref="B8:D8"/>
    <mergeCell ref="B9:D9"/>
    <mergeCell ref="B10:D10"/>
    <mergeCell ref="B11:D11"/>
    <mergeCell ref="B12:D12"/>
    <mergeCell ref="B22:D22"/>
    <mergeCell ref="B23:D23"/>
    <mergeCell ref="B35:D35"/>
    <mergeCell ref="B36:D36"/>
    <mergeCell ref="B37:D37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24:D24"/>
    <mergeCell ref="B25:D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0">
    <cfRule type="expression" dxfId="14" priority="57">
      <formula>$E40="راسب"</formula>
    </cfRule>
  </conditionalFormatting>
  <conditionalFormatting sqref="E40:J40">
    <cfRule type="expression" dxfId="13" priority="58">
      <formula>$E40="مقبول"</formula>
    </cfRule>
    <cfRule type="expression" dxfId="12" priority="59">
      <formula>$E40="جيد"</formula>
    </cfRule>
    <cfRule type="expression" dxfId="11" priority="60">
      <formula>$E40="جيد جداً"</formula>
    </cfRule>
    <cfRule type="expression" dxfId="10" priority="61">
      <formula>$E40="ممتاز"</formula>
    </cfRule>
  </conditionalFormatting>
  <conditionalFormatting sqref="F8:F3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1:J41">
    <cfRule type="containsText" dxfId="6" priority="15" operator="containsText" text="أدخل اسم المحكم">
      <formula>NOT(ISERROR(SEARCH("أدخل اسم المحكم",G41)))</formula>
    </cfRule>
  </conditionalFormatting>
  <conditionalFormatting sqref="H8:H3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F34:F37 F9:F12 F29 F19:F22 F24:F27 F17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G41:J41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646AA8ED-CA28-464D-B484-E4A46869E6EE}">
          <x14:formula1>
            <xm:f>'بيانات التقييم'!$A$111:$A$153</xm:f>
          </x14:formula1>
          <xm:sqref>F14 F15 F16 F28</xm:sqref>
        </x14:dataValidation>
        <x14:dataValidation type="list" allowBlank="1" showInputMessage="1" showErrorMessage="1" xr:uid="{3B8115A6-CCB0-42E4-B917-49C6BDEB1107}">
          <x14:formula1>
            <xm:f>'بيانات التقييم'!$A$111:$A$193</xm:f>
          </x14:formula1>
          <xm:sqref>F13</xm:sqref>
        </x14:dataValidation>
        <x14:dataValidation type="list" allowBlank="1" showInputMessage="1" showErrorMessage="1" xr:uid="{9EA5E5F8-03D3-49AD-BFB3-BA3F79B6A05D}">
          <x14:formula1>
            <xm:f>'بيانات التقييم'!$A$111:$A$145</xm:f>
          </x14:formula1>
          <xm:sqref>F31</xm:sqref>
        </x14:dataValidation>
        <x14:dataValidation type="list" allowBlank="1" showInputMessage="1" showErrorMessage="1" xr:uid="{62A343D0-7AB2-4B2D-A270-A1ACA65352FC}">
          <x14:formula1>
            <xm:f>'بيانات التقييم'!$A$111:$A$161</xm:f>
          </x14:formula1>
          <xm:sqref>F32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4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175</v>
      </c>
    </row>
    <row r="213" spans="1:1" ht="20.100000000000001" customHeight="1" x14ac:dyDescent="0.2">
      <c r="A213" s="19" t="s">
        <v>102</v>
      </c>
    </row>
    <row r="214" spans="1:1" ht="20.100000000000001" customHeight="1" x14ac:dyDescent="0.2">
      <c r="A214" s="19" t="s">
        <v>103</v>
      </c>
    </row>
    <row r="215" spans="1:1" ht="20.100000000000001" customHeight="1" x14ac:dyDescent="0.2">
      <c r="A215" s="19" t="s">
        <v>104</v>
      </c>
    </row>
    <row r="216" spans="1:1" ht="20.100000000000001" customHeight="1" x14ac:dyDescent="0.2">
      <c r="A216" s="19" t="s">
        <v>105</v>
      </c>
    </row>
    <row r="217" spans="1:1" ht="20.100000000000001" customHeight="1" x14ac:dyDescent="0.2">
      <c r="A217" s="19" t="s">
        <v>106</v>
      </c>
    </row>
    <row r="218" spans="1:1" ht="20.100000000000001" customHeight="1" x14ac:dyDescent="0.2">
      <c r="A218" s="19" t="s">
        <v>107</v>
      </c>
    </row>
    <row r="219" spans="1:1" ht="20.100000000000001" customHeight="1" x14ac:dyDescent="0.2">
      <c r="A219" s="19" t="s">
        <v>108</v>
      </c>
    </row>
    <row r="220" spans="1:1" ht="20.100000000000001" customHeight="1" x14ac:dyDescent="0.2">
      <c r="A220" s="19" t="s">
        <v>109</v>
      </c>
    </row>
    <row r="221" spans="1:1" ht="20.100000000000001" customHeight="1" x14ac:dyDescent="0.2">
      <c r="A221" s="19" t="s">
        <v>110</v>
      </c>
    </row>
    <row r="222" spans="1:1" ht="20.100000000000001" customHeight="1" x14ac:dyDescent="0.2">
      <c r="A222" s="19" t="s">
        <v>111</v>
      </c>
    </row>
    <row r="223" spans="1:1" ht="20.100000000000001" customHeight="1" x14ac:dyDescent="0.2">
      <c r="A223" s="19" t="s">
        <v>112</v>
      </c>
    </row>
    <row r="224" spans="1:1" ht="20.100000000000001" customHeight="1" x14ac:dyDescent="0.2">
      <c r="A224" s="19" t="s">
        <v>176</v>
      </c>
    </row>
    <row r="225" spans="1:1" ht="20.100000000000001" customHeight="1" x14ac:dyDescent="0.2">
      <c r="A225" s="19" t="s">
        <v>113</v>
      </c>
    </row>
    <row r="226" spans="1:1" ht="20.100000000000001" customHeight="1" x14ac:dyDescent="0.2">
      <c r="A226" s="19" t="s">
        <v>114</v>
      </c>
    </row>
    <row r="227" spans="1:1" ht="20.100000000000001" customHeight="1" x14ac:dyDescent="0.2">
      <c r="A227" s="19" t="s">
        <v>115</v>
      </c>
    </row>
    <row r="228" spans="1:1" ht="20.100000000000001" customHeight="1" x14ac:dyDescent="0.2">
      <c r="A228" s="19" t="s">
        <v>116</v>
      </c>
    </row>
    <row r="229" spans="1:1" ht="20.100000000000001" customHeight="1" x14ac:dyDescent="0.2">
      <c r="A229" s="19" t="s">
        <v>117</v>
      </c>
    </row>
    <row r="230" spans="1:1" ht="20.100000000000001" customHeight="1" x14ac:dyDescent="0.2">
      <c r="A230" s="19" t="s">
        <v>118</v>
      </c>
    </row>
    <row r="231" spans="1:1" ht="20.100000000000001" customHeight="1" x14ac:dyDescent="0.2">
      <c r="A231" s="19" t="s">
        <v>119</v>
      </c>
    </row>
    <row r="232" spans="1:1" ht="20.100000000000001" customHeight="1" x14ac:dyDescent="0.2">
      <c r="A232" s="19" t="s">
        <v>120</v>
      </c>
    </row>
    <row r="233" spans="1:1" ht="20.100000000000001" customHeight="1" x14ac:dyDescent="0.2">
      <c r="A233" s="19" t="s">
        <v>121</v>
      </c>
    </row>
    <row r="234" spans="1:1" ht="20.100000000000001" customHeight="1" x14ac:dyDescent="0.2">
      <c r="A234" s="19" t="s">
        <v>122</v>
      </c>
    </row>
    <row r="235" spans="1:1" ht="20.100000000000001" customHeight="1" x14ac:dyDescent="0.2">
      <c r="A235" s="19" t="s">
        <v>123</v>
      </c>
    </row>
    <row r="236" spans="1:1" ht="20.100000000000001" customHeight="1" x14ac:dyDescent="0.2">
      <c r="A236" s="21" t="s">
        <v>124</v>
      </c>
    </row>
    <row r="237" spans="1:1" ht="20.100000000000001" customHeight="1" x14ac:dyDescent="0.2">
      <c r="A237" s="19" t="s">
        <v>125</v>
      </c>
    </row>
    <row r="238" spans="1:1" ht="20.100000000000001" customHeight="1" x14ac:dyDescent="0.2">
      <c r="A238" s="19" t="s">
        <v>126</v>
      </c>
    </row>
    <row r="239" spans="1:1" ht="20.100000000000001" customHeight="1" x14ac:dyDescent="0.2">
      <c r="A239" s="19" t="s">
        <v>127</v>
      </c>
    </row>
    <row r="240" spans="1:1" ht="20.100000000000001" customHeight="1" x14ac:dyDescent="0.2">
      <c r="A240" s="19" t="s">
        <v>128</v>
      </c>
    </row>
    <row r="241" spans="1:1" ht="20.100000000000001" customHeight="1" x14ac:dyDescent="0.2">
      <c r="A241" s="19" t="s">
        <v>129</v>
      </c>
    </row>
    <row r="242" spans="1:1" ht="20.100000000000001" customHeight="1" x14ac:dyDescent="0.2">
      <c r="A242" s="19" t="s">
        <v>130</v>
      </c>
    </row>
    <row r="243" spans="1:1" ht="20.100000000000001" customHeight="1" x14ac:dyDescent="0.2">
      <c r="A243" s="19" t="s">
        <v>131</v>
      </c>
    </row>
    <row r="244" spans="1:1" ht="20.100000000000001" customHeight="1" x14ac:dyDescent="0.2">
      <c r="A244" s="19" t="s">
        <v>132</v>
      </c>
    </row>
    <row r="245" spans="1:1" ht="20.100000000000001" customHeight="1" x14ac:dyDescent="0.2">
      <c r="A245" s="19" t="s">
        <v>133</v>
      </c>
    </row>
    <row r="246" spans="1:1" ht="20.100000000000001" customHeight="1" x14ac:dyDescent="0.2">
      <c r="A246" s="19" t="s">
        <v>134</v>
      </c>
    </row>
    <row r="247" spans="1:1" ht="20.100000000000001" customHeight="1" x14ac:dyDescent="0.2">
      <c r="A247" s="19" t="s">
        <v>135</v>
      </c>
    </row>
    <row r="248" spans="1:1" ht="20.100000000000001" customHeight="1" x14ac:dyDescent="0.2">
      <c r="A248" s="19" t="s">
        <v>126</v>
      </c>
    </row>
    <row r="249" spans="1:1" ht="20.100000000000001" customHeight="1" x14ac:dyDescent="0.2">
      <c r="A249" s="19" t="s">
        <v>136</v>
      </c>
    </row>
    <row r="250" spans="1:1" ht="20.100000000000001" customHeight="1" x14ac:dyDescent="0.2">
      <c r="A250" s="19" t="s">
        <v>137</v>
      </c>
    </row>
    <row r="251" spans="1:1" ht="20.100000000000001" customHeight="1" x14ac:dyDescent="0.2">
      <c r="A251" s="21" t="s">
        <v>138</v>
      </c>
    </row>
    <row r="252" spans="1:1" ht="20.100000000000001" customHeight="1" x14ac:dyDescent="0.2">
      <c r="A252" s="22" t="s">
        <v>139</v>
      </c>
    </row>
    <row r="253" spans="1:1" ht="20.100000000000001" customHeight="1" x14ac:dyDescent="0.2">
      <c r="A253" s="19" t="s">
        <v>140</v>
      </c>
    </row>
    <row r="254" spans="1:1" ht="20.100000000000001" customHeight="1" x14ac:dyDescent="0.2">
      <c r="A254" s="19" t="s">
        <v>141</v>
      </c>
    </row>
    <row r="255" spans="1:1" ht="20.100000000000001" customHeight="1" x14ac:dyDescent="0.2">
      <c r="A255" s="23" t="s">
        <v>142</v>
      </c>
    </row>
    <row r="256" spans="1:1" ht="20.100000000000001" customHeight="1" x14ac:dyDescent="0.2">
      <c r="A256" s="23" t="s">
        <v>143</v>
      </c>
    </row>
    <row r="257" spans="1:1" ht="20.100000000000001" customHeight="1" x14ac:dyDescent="0.2">
      <c r="A257" s="24" t="s">
        <v>144</v>
      </c>
    </row>
    <row r="258" spans="1:1" ht="20.100000000000001" customHeight="1" x14ac:dyDescent="0.2">
      <c r="A258" s="19" t="s">
        <v>145</v>
      </c>
    </row>
    <row r="259" spans="1:1" ht="20.100000000000001" customHeight="1" x14ac:dyDescent="0.2">
      <c r="A259" s="24" t="s">
        <v>146</v>
      </c>
    </row>
    <row r="260" spans="1:1" ht="20.100000000000001" customHeight="1" x14ac:dyDescent="0.2">
      <c r="A260" s="19" t="s">
        <v>147</v>
      </c>
    </row>
    <row r="261" spans="1:1" ht="20.100000000000001" customHeight="1" x14ac:dyDescent="0.2">
      <c r="A261" s="24" t="s">
        <v>148</v>
      </c>
    </row>
    <row r="262" spans="1:1" ht="20.100000000000001" customHeight="1" x14ac:dyDescent="0.2">
      <c r="A262" s="19" t="s">
        <v>149</v>
      </c>
    </row>
    <row r="263" spans="1:1" ht="20.100000000000001" customHeight="1" x14ac:dyDescent="0.2">
      <c r="A263" s="19" t="s">
        <v>150</v>
      </c>
    </row>
    <row r="264" spans="1:1" ht="20.100000000000001" customHeight="1" x14ac:dyDescent="0.2">
      <c r="A264" s="24" t="s">
        <v>151</v>
      </c>
    </row>
    <row r="265" spans="1:1" ht="20.100000000000001" customHeight="1" x14ac:dyDescent="0.2">
      <c r="A265" s="24" t="s">
        <v>152</v>
      </c>
    </row>
    <row r="266" spans="1:1" ht="20.100000000000001" customHeight="1" x14ac:dyDescent="0.2">
      <c r="A266" s="24" t="s">
        <v>153</v>
      </c>
    </row>
    <row r="267" spans="1:1" ht="20.100000000000001" customHeight="1" x14ac:dyDescent="0.2">
      <c r="A267" s="19" t="s">
        <v>154</v>
      </c>
    </row>
    <row r="268" spans="1:1" ht="20.100000000000001" customHeight="1" x14ac:dyDescent="0.2">
      <c r="A268" s="19" t="s">
        <v>155</v>
      </c>
    </row>
    <row r="269" spans="1:1" ht="20.100000000000001" customHeight="1" x14ac:dyDescent="0.2">
      <c r="A269" s="19" t="s">
        <v>156</v>
      </c>
    </row>
    <row r="270" spans="1:1" ht="20.100000000000001" customHeight="1" x14ac:dyDescent="0.2">
      <c r="A270" s="19" t="s">
        <v>157</v>
      </c>
    </row>
    <row r="271" spans="1:1" ht="20.100000000000001" customHeight="1" x14ac:dyDescent="0.2">
      <c r="A271" s="24" t="s">
        <v>158</v>
      </c>
    </row>
    <row r="272" spans="1:1" ht="20.100000000000001" customHeight="1" x14ac:dyDescent="0.2">
      <c r="A272" s="24" t="s">
        <v>159</v>
      </c>
    </row>
    <row r="273" spans="1:1" ht="20.100000000000001" customHeight="1" x14ac:dyDescent="0.2">
      <c r="A273" s="19" t="s">
        <v>160</v>
      </c>
    </row>
    <row r="274" spans="1:1" ht="20.100000000000001" customHeight="1" x14ac:dyDescent="0.2">
      <c r="A274" s="24" t="s">
        <v>161</v>
      </c>
    </row>
    <row r="275" spans="1:1" ht="20.100000000000001" customHeight="1" x14ac:dyDescent="0.2">
      <c r="A275" s="24" t="s">
        <v>162</v>
      </c>
    </row>
    <row r="276" spans="1:1" ht="20.100000000000001" customHeight="1" x14ac:dyDescent="0.2">
      <c r="A276" s="19" t="s">
        <v>163</v>
      </c>
    </row>
    <row r="277" spans="1:1" ht="20.100000000000001" customHeight="1" x14ac:dyDescent="0.2">
      <c r="A277" s="19" t="s">
        <v>164</v>
      </c>
    </row>
    <row r="278" spans="1:1" ht="20.100000000000001" customHeight="1" x14ac:dyDescent="0.2">
      <c r="A278" s="24" t="s">
        <v>165</v>
      </c>
    </row>
    <row r="279" spans="1:1" ht="20.100000000000001" customHeight="1" x14ac:dyDescent="0.2">
      <c r="A279" s="19" t="s">
        <v>166</v>
      </c>
    </row>
    <row r="280" spans="1:1" ht="20.100000000000001" customHeight="1" x14ac:dyDescent="0.2">
      <c r="A280" s="19" t="s">
        <v>167</v>
      </c>
    </row>
    <row r="281" spans="1:1" ht="20.100000000000001" customHeight="1" x14ac:dyDescent="0.2">
      <c r="A281" s="19" t="s">
        <v>168</v>
      </c>
    </row>
    <row r="282" spans="1:1" ht="20.100000000000001" customHeight="1" x14ac:dyDescent="0.2">
      <c r="A282" s="19" t="s">
        <v>169</v>
      </c>
    </row>
    <row r="283" spans="1:1" ht="20.100000000000001" customHeight="1" x14ac:dyDescent="0.2">
      <c r="A283" s="24" t="s">
        <v>170</v>
      </c>
    </row>
    <row r="284" spans="1:1" ht="20.100000000000001" customHeight="1" x14ac:dyDescent="0.2">
      <c r="A284" s="24" t="s">
        <v>171</v>
      </c>
    </row>
    <row r="285" spans="1:1" ht="20.100000000000001" customHeight="1" x14ac:dyDescent="0.2">
      <c r="A285" s="24" t="s">
        <v>172</v>
      </c>
    </row>
    <row r="286" spans="1:1" ht="20.100000000000001" customHeight="1" thickBot="1" x14ac:dyDescent="0.25">
      <c r="A286" s="19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2025-09-25T08:08:19Z</dcterms:modified>
</cp:coreProperties>
</file>