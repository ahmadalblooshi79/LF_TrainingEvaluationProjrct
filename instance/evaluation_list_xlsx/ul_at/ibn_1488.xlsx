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50A7F00-9AFB-B644-8D19-F8D4F1CBC6A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4" i="2"/>
  <c r="H34" i="2"/>
  <c r="G35" i="2"/>
  <c r="H35" i="2"/>
  <c r="G36" i="2"/>
  <c r="H36" i="2"/>
  <c r="G37" i="2"/>
  <c r="H37" i="2"/>
  <c r="F38" i="2"/>
  <c r="E38" i="2"/>
  <c r="E39" i="2"/>
  <c r="E40" i="2"/>
</calcChain>
</file>

<file path=xl/sharedStrings.xml><?xml version="1.0" encoding="utf-8"?>
<sst xmlns="http://schemas.openxmlformats.org/spreadsheetml/2006/main" count="267" uniqueCount="211">
  <si>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</si>
  <si>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</si>
  <si>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</si>
  <si>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</si>
  <si>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</si>
  <si>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</si>
  <si>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</si>
  <si>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</si>
  <si>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</si>
  <si>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</si>
  <si>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</si>
  <si>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</si>
  <si>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</si>
  <si>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</si>
  <si>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</si>
  <si>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</si>
  <si>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</si>
  <si>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</si>
  <si>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</si>
  <si>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</si>
  <si>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</si>
  <si>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</si>
  <si>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</si>
  <si>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</si>
  <si>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</si>
  <si>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</si>
  <si>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</si>
  <si>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</si>
  <si>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</si>
  <si>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</si>
  <si>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</si>
  <si>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</si>
  <si>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</si>
  <si>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</si>
  <si>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</si>
  <si>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</si>
  <si>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</si>
  <si>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</si>
  <si>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</si>
  <si>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</si>
  <si>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</si>
  <si>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</si>
  <si>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</si>
  <si>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</si>
  <si>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</si>
  <si>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</si>
  <si>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</si>
  <si>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</si>
  <si>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</si>
  <si>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</si>
  <si>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</si>
  <si>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</si>
  <si>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</si>
  <si>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</si>
  <si>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</si>
  <si>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</si>
  <si>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</si>
  <si>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</si>
  <si>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</si>
  <si>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</si>
  <si>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</si>
  <si>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</si>
  <si>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</si>
  <si>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</si>
  <si>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</si>
  <si>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</si>
  <si>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</si>
  <si>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</si>
  <si>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</si>
  <si>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</si>
  <si>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</si>
  <si>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</si>
  <si>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</si>
  <si>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</si>
  <si>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</si>
  <si>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</si>
  <si>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</si>
  <si>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</si>
  <si>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</si>
  <si>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</si>
  <si>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</si>
  <si>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</si>
  <si>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</si>
  <si>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</si>
  <si>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</si>
  <si>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</si>
  <si>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</si>
  <si>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</si>
  <si>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</si>
  <si>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</si>
  <si>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</si>
  <si>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</si>
  <si>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</si>
  <si>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</si>
  <si>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</si>
  <si>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</si>
  <si>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</si>
  <si>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</si>
  <si>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</si>
  <si>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</si>
  <si>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</si>
  <si>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</si>
  <si>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</si>
  <si>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</si>
  <si>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</si>
  <si>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</si>
  <si>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</si>
  <si>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</si>
  <si>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</si>
  <si>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</si>
  <si>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</si>
  <si>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</si>
  <si>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</si>
  <si>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</si>
  <si>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</si>
  <si>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</si>
  <si>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</si>
  <si>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</si>
  <si>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</si>
  <si>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</si>
  <si>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</si>
  <si>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</si>
  <si>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</si>
  <si>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</si>
  <si>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</si>
  <si>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</si>
  <si>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</si>
  <si>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</si>
  <si>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</si>
  <si>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</si>
  <si>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</si>
  <si>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</si>
  <si>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</si>
  <si>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</si>
  <si>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</si>
  <si>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</si>
  <si>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</si>
  <si>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</si>
  <si>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</si>
  <si>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</si>
  <si>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</si>
  <si>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</si>
  <si>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</si>
  <si>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</si>
  <si>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</si>
  <si>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</si>
  <si>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</si>
  <si>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</si>
  <si>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</si>
  <si>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</si>
  <si>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</si>
  <si>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</si>
  <si>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</si>
  <si>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</si>
  <si>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</si>
  <si>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</si>
  <si>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</si>
  <si>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</si>
  <si>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</si>
  <si>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</si>
  <si>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</si>
  <si>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</si>
  <si>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</si>
  <si>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</si>
  <si>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</si>
  <si>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</si>
  <si>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</si>
  <si>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</si>
  <si>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</si>
  <si>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</si>
  <si>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</si>
  <si>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</si>
  <si>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</si>
  <si>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</si>
  <si>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</si>
  <si>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</si>
  <si>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</si>
  <si>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</si>
  <si>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</si>
  <si>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</si>
  <si>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لسرية الـ م/د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</si>
  <si>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 وتشمل:</t>
    </r>
  </si>
  <si>
    <t>أ. وجود الأمر / برقية إعطاء الموافقة بالتحرك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</si>
  <si>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</si>
  <si>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</si>
  <si>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وجود يومية التحرك ودقة البيانات الواردة بها.</t>
  </si>
  <si>
    <t>هـ. مدى التقيد بالتوقيتات، الوقفات، السرعة، الكثافة، الطرق ونقاط السيطرة).</t>
  </si>
  <si>
    <t>و. مدى إلمام قائد القافلة (بالأوامر الصادرة في أمر / جدول / يومية التحرك مخطط / التنقل، المواقف الطارئة مثل إلغاء أو تأخير حركة القافلة).</t>
  </si>
  <si>
    <t>ز. 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</si>
  <si>
    <t>ح. وجود أفراد حراسة مع القافلة حسب التعليمات.</t>
  </si>
  <si>
    <t>ط. التأكد من التنسيـق مـع الشرطـة العسكرية.</t>
  </si>
  <si>
    <r>
      <t>2.</t>
    </r>
    <r>
      <rPr>
        <b/>
        <sz val="7"/>
        <color rgb="FF000000"/>
        <rFont val="Times New Roman"/>
        <family val="1"/>
      </rPr>
      <t xml:space="preserve">            </t>
    </r>
    <r>
      <rPr>
        <b/>
        <u/>
        <sz val="12"/>
        <color rgb="FF000000"/>
        <rFont val="Arial"/>
        <family val="2"/>
      </rPr>
      <t>التنسيق مع الشـرطة العسكرية.</t>
    </r>
  </si>
  <si>
    <t>أ. وجود برقية إخطار الشرطة العسكرية بالتحرك صادرة من المستوى الأعلى.</t>
  </si>
  <si>
    <t>ب. التأكد من التنسيق مع الشرطة المدينة حول التحرك من قبل الشرطة العسكرية.</t>
  </si>
  <si>
    <t>جـ. التأكد من عدم السماح للسيارة المدينة بالدخول بين آليات القافلة العسكرية.</t>
  </si>
  <si>
    <t>د. التأكد من جاهزية الأفراد والآليات من حيث (عدد الأفراد / الآليات، التسليح، الاتصالات، اللباس).</t>
  </si>
  <si>
    <r>
      <t>3.</t>
    </r>
    <r>
      <rPr>
        <b/>
        <sz val="7"/>
        <color rgb="FF000000"/>
        <rFont val="Times New Roman"/>
        <family val="1"/>
      </rPr>
      <t xml:space="preserve">            </t>
    </r>
    <r>
      <rPr>
        <b/>
        <u/>
        <sz val="12"/>
        <color rgb="FF000000"/>
        <rFont val="Arial"/>
        <family val="2"/>
      </rPr>
      <t>جاهزية آليات القافلة</t>
    </r>
    <r>
      <rPr>
        <b/>
        <sz val="12"/>
        <color rgb="FF000000"/>
        <rFont val="Arial"/>
        <family val="2"/>
      </rPr>
      <t>.</t>
    </r>
  </si>
  <si>
    <t>أ.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</si>
  <si>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الآلية، جدول التحميل / الركوب لكل آلية.</t>
  </si>
  <si>
    <t>جـ. مدى صلاحية وجاهزية الآليات من حيث (الوقود، المياه، الإطار الاحتياطي، غطاء التمويه مع الركائز).</t>
  </si>
  <si>
    <t>د. التأكد من عدم تحميل الآليات أكثر من حمولتها أو وضع حمولة غير مرتبة بحيث توحي بأنها محملة أكثر من حمولتها.</t>
  </si>
  <si>
    <t>هـ. التأكد من تحميل ثلث ذخيرة الخط الأول لجميع الأصناف في صناديق (أثناء التنقل لتنفيذ التمارين الخارجية) مع وجود سند صرف لاستلام الذخائر.</t>
  </si>
  <si>
    <t>و. التأكد من تغطية حمولة الآليات (الأسلحة، الذخائر، معدات عسكرية) ومدى صلاحية الأغطية وتثبيتها.</t>
  </si>
  <si>
    <r>
      <t>4.</t>
    </r>
    <r>
      <rPr>
        <b/>
        <sz val="7"/>
        <color rgb="FF000000"/>
        <rFont val="Times New Roman"/>
        <family val="1"/>
      </rPr>
      <t xml:space="preserve">            </t>
    </r>
    <r>
      <rPr>
        <b/>
        <u/>
        <sz val="12"/>
        <color rgb="FF000000"/>
        <rFont val="Arial"/>
        <family val="2"/>
      </rPr>
      <t>عند تحميل أي ذخيرة في القافلة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يتم توفير الآتي:</t>
    </r>
  </si>
  <si>
    <t>أ. وجود سيارة إطفاء والتأكد من جاهزيتها وصلاحيتها وكفاءة طاقمها.</t>
  </si>
  <si>
    <t>ب. وجود أفراد حراسة مع السلاح الشخصي والذخيرة المقررة للحراسة وملمين بواجباتهم وموزعين على القافلة.</t>
  </si>
  <si>
    <r>
      <t>5.</t>
    </r>
    <r>
      <rPr>
        <b/>
        <sz val="7"/>
        <color rgb="FF000000"/>
        <rFont val="Times New Roman"/>
        <family val="1"/>
      </rPr>
      <t xml:space="preserve">            </t>
    </r>
    <r>
      <rPr>
        <b/>
        <u/>
        <sz val="12"/>
        <color rgb="FF000000"/>
        <rFont val="Arial"/>
        <family val="2"/>
      </rPr>
      <t>الشؤون الإدارية.</t>
    </r>
  </si>
  <si>
    <t>أ. توفر الإعاشة أثناء التنقـل.</t>
  </si>
  <si>
    <t>ب. وجود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</si>
  <si>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</si>
  <si>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وجود آلية قطر احتياط لأليات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</si>
</sst>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</cellXfs>
  <cellStyles count="1">
    <cellStyle name="عادي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588275</xdr:colOff>
      <xdr:row>40</xdr:row>
      <xdr:rowOff>437412</xdr:rowOff>
    </xdr:from>
    <xdr:to>
      <xdr:col>9</xdr:col>
      <xdr:colOff>1045741</xdr:colOff>
      <xdr:row>44</xdr:row>
      <xdr:rowOff>10692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DC4C953B-D62D-1DB1-48F7-840EB854DE35}"/>
                </a:ext>
              </a:extLst>
            </xdr14:cNvPr>
            <xdr14:cNvContentPartPr/>
          </xdr14:nvContentPartPr>
          <xdr14:nvPr macro=""/>
          <xdr14:xfrm>
            <a:off x="11437393985" y="18067320"/>
            <a:ext cx="2622240" cy="1097280"/>
          </xdr14:xfrm>
        </xdr:contentPart>
      </mc:Choice>
      <mc:Fallback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DC4C953B-D62D-1DB1-48F7-840EB854DE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7384985" y="18058320"/>
              <a:ext cx="2639880" cy="111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19:45:37.0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2199 1267,'0'0,"0"0,0 0,0 0,0 0,0 0,0 0,0 0,0 0,0 0,0 0,0 0,0 0,0 0,0 0,0 0,0 0,0 0,0 0,0 0,-15 16,-2-16,15 0,-13 32,1-16,12-13,-30 26,1 4,26-28,-38 38,12-11,26-27,-7 38,-5-27,17-14,-14 28,14 2,0-27,14 6,20-11,-29 0,69 0,54-32,-109 27,140-22,16-37,-148 54,122-44,139-43,-242 82,214-82,45-31,-259 109,211-90,1-20,-217 110,158-90,11-3,-179 95,113-46,32-34,-145 81,68-32,-37 16,-50 27,-7 10,-5 11,0-13,-65 42,-31 35,84-67,-72 55,-75 60,132-107,-155 102,-28 38,179-137,-82 64,17-8,84-68,-24 8,-12 28,40-40,-16 0,7 8,17-13,65-38,-33 35,-27 0,71-32,35-16,-92 40,75-32,2-24,-79 54,63-12,-1-26,-67 40,24 0,-19-8,-15 13,-21 22,5-3,11-14,-28 12,0 2,26-14,-38 28,-6 2,42-27,-34 6,10 21,26-27,-24 6,-2 5,26-14,-7 12,-2 2,11-13,6 10,-20-13,15 0,4 16,-2 0,0-13,-17 10,3 3,11-13,-11 10,-17 3,26-13,-7 26,-19-13,23-13,-18 10,11 3,13-13,-12 11,-3 2,17-14,-15-4,13 2,36 0,-3-16,17-1,-38 15,110-44,39-34,-135 68,144-56,41-28,-177 82,177-84,48-15,-218 95,146-76,39-18,-188 94,154-60,33-19,-187 82,138-66,-30 17,-120 53,63-26,9 5,-79 27,48-6,-17-5,-41 13,17 6,7-3,-24 0,20 0,-13 0,-11 0,-6 16,-28 0,26-14,-69 28,-87 18,134-40,-156 32,-105 40,240-66,-255 69,-99 29,337-94,-303 92,-96 50,389-134,-348 125,-106 73,447-188,-397 169,-84 67,489-235,-412 183,36 21,383-205,-299 136,15 20,298-163,-183 87,58-36,154-68,-48 24,-39 12,95-41,-16 2,16-9,13 0,22 0,-11 0,-16-16,23 0,-13 14,44-12,36-50,-73 55,126-62,57-42,-165 98,201-98,61-47,-246 137,268-131,42-22,-302 150,266-108,51-43,-312 151,273-92,41-26,-317 122,262-85,22-37,-289 123,224-70,34-37,-263 109,202-75,-4-2,-205 82,137-84,-14 34,-135 54,65-28,-10-10,-67 40,24-17,-2-7,-32 28,-4-24,16-4,-11 27,-6-38,-11 11,12 27,-30-22,-47-21,67 41,-55-18,-15-23,70 41,-56-18,-28 9,82 13,-68-26,-14 12,81 15,-98-12,-48 14,137 0,-79 0,-75 16,154-13,-97 27,11-14,93-14,-63 28,16 2,54-28,-45 24,55 4,0-27,-15 38,15-11,0-27,31 38,18-11,-42-27,82 38,55 21,-122-53,117 43,37 10,-147-54,134 60,30-6,-164-54,103 28,-5 10,-107-40,73 32,-30 8,-51-40,58 17,-22 7,-41-27,17 38,-7-11,-15-28,-21 40,-29 20,41-54,-99 92,-38-5,122-83,-115 84,-8-18,124-68,-71 56,-4-4,82-54,-20-4,17-6,17 0,17-16,14 16,-26 0,38-32,102-32,-121 54,144-76,90-26,-218 94,191-109,92-17,-278 123,213-102,16-6,-236 111,148-92,-25 30,-137 68,62-24,-4-12,-70 40,8 0,-4 0,-64 32,0-8,39-14,-126 44,-43 34,154-69,-207 90,-91 44,276-125,-276 104,-63 52,325-148,-282 121,-74 27,353-150,-307 124,-32 27,342-151,-248 92,-12 10,270-107,-126 55,32-28,122-41,-35 18,25-9,27-14,42-20,-35 17,27-14,36-17,-56 27,109-38,60-38,-149 68,166-86,-195 99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D25" zoomScale="130" zoomScaleNormal="100" zoomScaleSheetLayoutView="130" workbookViewId="0">
      <selection activeCell="G42" sqref="G42:J42"/>
    </sheetView>
  </sheetViews>
  <sheetFormatPr defaultColWidth="8.94921875" defaultRowHeight="13.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31640625" style="1" customWidth="1"/>
    <col min="8" max="8" width="9.31640625" style="3" customWidth="1"/>
    <col min="9" max="9" width="9.31640625" style="1" customWidth="1"/>
    <col min="10" max="10" width="15.4453125" style="1" customWidth="1"/>
    <col min="11" max="16384" width="8.94921875" style="1"/>
  </cols>
  <sheetData>
    <row r="1" spans="1:10" ht="45" customHeight="1">
      <c r="B1" s="60" t="s">
        <v>180</v>
      </c>
      <c r="C1" s="60"/>
      <c r="D1" s="60"/>
      <c r="E1" s="60"/>
      <c r="F1" s="60"/>
      <c r="G1" s="60"/>
      <c r="H1" s="60"/>
      <c r="I1" s="60"/>
      <c r="J1" s="60"/>
    </row>
    <row r="2" spans="1:10" ht="30" customHeight="1">
      <c r="B2" s="12" t="s">
        <v>8</v>
      </c>
      <c r="C2" s="66" t="s">
        <v>27</v>
      </c>
      <c r="D2" s="66"/>
      <c r="E2" s="12" t="s">
        <v>7</v>
      </c>
      <c r="F2" s="61">
        <v>45931</v>
      </c>
      <c r="G2" s="61"/>
      <c r="H2" s="61"/>
      <c r="I2" s="61"/>
      <c r="J2" s="61"/>
    </row>
    <row r="3" spans="1:10" ht="30" customHeight="1">
      <c r="B3" s="12" t="s">
        <v>9</v>
      </c>
      <c r="C3" s="66" t="s">
        <v>70</v>
      </c>
      <c r="D3" s="66"/>
      <c r="E3" s="12" t="s">
        <v>6</v>
      </c>
      <c r="F3" s="66" t="s">
        <v>115</v>
      </c>
      <c r="G3" s="66"/>
      <c r="H3" s="66"/>
      <c r="I3" s="66"/>
      <c r="J3" s="6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62" t="s">
        <v>0</v>
      </c>
      <c r="C5" s="63"/>
      <c r="D5" s="63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>
      <c r="A6" s="10"/>
      <c r="B6" s="64"/>
      <c r="C6" s="65"/>
      <c r="D6" s="65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>
      <c r="A7" s="10"/>
      <c r="B7" s="69" t="s">
        <v>21</v>
      </c>
      <c r="C7" s="70"/>
      <c r="D7" s="70"/>
      <c r="E7" s="28" t="s">
        <v>18</v>
      </c>
      <c r="F7" s="28" t="s">
        <v>19</v>
      </c>
      <c r="G7" s="28" t="s">
        <v>22</v>
      </c>
      <c r="H7" s="28" t="s">
        <v>20</v>
      </c>
      <c r="I7" s="52" t="s">
        <v>25</v>
      </c>
      <c r="J7" s="53"/>
    </row>
    <row r="8" spans="1:10" ht="30" customHeight="1">
      <c r="A8" s="10"/>
      <c r="B8" s="79" t="s">
        <v>181</v>
      </c>
      <c r="C8" s="80"/>
      <c r="D8" s="80"/>
      <c r="E8" s="32"/>
      <c r="F8" s="33"/>
      <c r="G8" s="34"/>
      <c r="H8" s="35"/>
      <c r="I8" s="46"/>
      <c r="J8" s="47"/>
    </row>
    <row r="9" spans="1:10" ht="30" customHeight="1">
      <c r="A9" s="10"/>
      <c r="B9" s="81" t="s">
        <v>182</v>
      </c>
      <c r="C9" s="82"/>
      <c r="D9" s="82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0" customHeight="1">
      <c r="A10" s="10"/>
      <c r="B10" s="81" t="s">
        <v>183</v>
      </c>
      <c r="C10" s="82"/>
      <c r="D10" s="82"/>
      <c r="E10" s="9">
        <v>5</v>
      </c>
      <c r="F10" s="26">
        <v>3.75</v>
      </c>
      <c r="G10" s="30">
        <f t="shared" ref="G10:G37" si="0">IFERROR(F10/E10,"")</f>
        <v>0.75</v>
      </c>
      <c r="H10" s="31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0" customHeight="1">
      <c r="A11" s="10"/>
      <c r="B11" s="81" t="s">
        <v>184</v>
      </c>
      <c r="C11" s="82"/>
      <c r="D11" s="82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4"/>
      <c r="J11" s="45"/>
    </row>
    <row r="12" spans="1:10" ht="30" customHeight="1">
      <c r="A12" s="10"/>
      <c r="B12" s="81" t="s">
        <v>185</v>
      </c>
      <c r="C12" s="82"/>
      <c r="D12" s="82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9.950000000000003" customHeight="1">
      <c r="A13" s="10"/>
      <c r="B13" s="81" t="s">
        <v>186</v>
      </c>
      <c r="C13" s="82"/>
      <c r="D13" s="82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50.1" customHeight="1">
      <c r="A14" s="10"/>
      <c r="B14" s="81" t="s">
        <v>187</v>
      </c>
      <c r="C14" s="82"/>
      <c r="D14" s="82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4"/>
      <c r="J14" s="45"/>
    </row>
    <row r="15" spans="1:10" ht="50.1" customHeight="1">
      <c r="A15" s="10"/>
      <c r="B15" s="81" t="s">
        <v>188</v>
      </c>
      <c r="C15" s="82"/>
      <c r="D15" s="82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4"/>
      <c r="J15" s="45"/>
    </row>
    <row r="16" spans="1:10" ht="30" customHeight="1">
      <c r="A16" s="10"/>
      <c r="B16" s="81" t="s">
        <v>189</v>
      </c>
      <c r="C16" s="82"/>
      <c r="D16" s="82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4"/>
      <c r="J16" s="45"/>
    </row>
    <row r="17" spans="1:10" ht="30" customHeight="1" thickBot="1">
      <c r="A17" s="10"/>
      <c r="B17" s="77" t="s">
        <v>190</v>
      </c>
      <c r="C17" s="78"/>
      <c r="D17" s="78"/>
      <c r="E17" s="36">
        <v>5</v>
      </c>
      <c r="F17" s="27">
        <v>4</v>
      </c>
      <c r="G17" s="37">
        <f t="shared" si="0"/>
        <v>0.8</v>
      </c>
      <c r="H17" s="38" t="str">
        <f t="shared" si="1"/>
        <v>جيد جداً</v>
      </c>
      <c r="I17" s="71"/>
      <c r="J17" s="72"/>
    </row>
    <row r="18" spans="1:10" ht="30" customHeight="1">
      <c r="A18" s="10"/>
      <c r="B18" s="79" t="s">
        <v>191</v>
      </c>
      <c r="C18" s="80"/>
      <c r="D18" s="80"/>
      <c r="E18" s="32"/>
      <c r="F18" s="33"/>
      <c r="G18" s="34"/>
      <c r="H18" s="35"/>
      <c r="I18" s="46"/>
      <c r="J18" s="47"/>
    </row>
    <row r="19" spans="1:10" ht="39.950000000000003" customHeight="1">
      <c r="A19" s="10"/>
      <c r="B19" s="81" t="s">
        <v>192</v>
      </c>
      <c r="C19" s="82"/>
      <c r="D19" s="82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4"/>
      <c r="J19" s="45"/>
    </row>
    <row r="20" spans="1:10" ht="39.950000000000003" customHeight="1">
      <c r="A20" s="10"/>
      <c r="B20" s="81" t="s">
        <v>193</v>
      </c>
      <c r="C20" s="82"/>
      <c r="D20" s="82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4"/>
      <c r="J20" s="45"/>
    </row>
    <row r="21" spans="1:10" ht="39.950000000000003" customHeight="1">
      <c r="A21" s="10"/>
      <c r="B21" s="81" t="s">
        <v>194</v>
      </c>
      <c r="C21" s="82"/>
      <c r="D21" s="82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4"/>
      <c r="J21" s="45"/>
    </row>
    <row r="22" spans="1:10" ht="39.950000000000003" customHeight="1" thickBot="1">
      <c r="A22" s="10"/>
      <c r="B22" s="77" t="s">
        <v>195</v>
      </c>
      <c r="C22" s="78"/>
      <c r="D22" s="78"/>
      <c r="E22" s="36">
        <v>5</v>
      </c>
      <c r="F22" s="27">
        <v>3.75</v>
      </c>
      <c r="G22" s="37">
        <f t="shared" si="0"/>
        <v>0.75</v>
      </c>
      <c r="H22" s="38" t="str">
        <f t="shared" si="1"/>
        <v>جيد</v>
      </c>
      <c r="I22" s="71"/>
      <c r="J22" s="72"/>
    </row>
    <row r="23" spans="1:10" ht="30" customHeight="1">
      <c r="A23" s="10"/>
      <c r="B23" s="79" t="s">
        <v>196</v>
      </c>
      <c r="C23" s="80"/>
      <c r="D23" s="80"/>
      <c r="E23" s="32"/>
      <c r="F23" s="33"/>
      <c r="G23" s="34"/>
      <c r="H23" s="35"/>
      <c r="I23" s="46"/>
      <c r="J23" s="47"/>
    </row>
    <row r="24" spans="1:10" ht="50.1" customHeight="1">
      <c r="A24" s="10"/>
      <c r="B24" s="81" t="s">
        <v>197</v>
      </c>
      <c r="C24" s="82"/>
      <c r="D24" s="82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4"/>
      <c r="J24" s="45"/>
    </row>
    <row r="25" spans="1:10" ht="30" customHeight="1">
      <c r="A25" s="10"/>
      <c r="B25" s="81" t="s">
        <v>198</v>
      </c>
      <c r="C25" s="82"/>
      <c r="D25" s="82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4"/>
      <c r="J25" s="45"/>
    </row>
    <row r="26" spans="1:10" ht="39.950000000000003" customHeight="1">
      <c r="A26" s="10"/>
      <c r="B26" s="81" t="s">
        <v>199</v>
      </c>
      <c r="C26" s="82"/>
      <c r="D26" s="82"/>
      <c r="E26" s="9">
        <v>5</v>
      </c>
      <c r="F26" s="26">
        <v>4</v>
      </c>
      <c r="G26" s="30">
        <f t="shared" si="0"/>
        <v>0.8</v>
      </c>
      <c r="H26" s="31" t="str">
        <f t="shared" si="1"/>
        <v>جيد جداً</v>
      </c>
      <c r="I26" s="44"/>
      <c r="J26" s="45"/>
    </row>
    <row r="27" spans="1:10" ht="39.950000000000003" customHeight="1">
      <c r="A27" s="10"/>
      <c r="B27" s="81" t="s">
        <v>200</v>
      </c>
      <c r="C27" s="82"/>
      <c r="D27" s="82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4"/>
      <c r="J27" s="45"/>
    </row>
    <row r="28" spans="1:10" ht="50.1" customHeight="1">
      <c r="A28" s="10"/>
      <c r="B28" s="81" t="s">
        <v>201</v>
      </c>
      <c r="C28" s="82"/>
      <c r="D28" s="82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4"/>
      <c r="J28" s="45"/>
    </row>
    <row r="29" spans="1:10" ht="39.950000000000003" customHeight="1" thickBot="1">
      <c r="A29" s="10"/>
      <c r="B29" s="77" t="s">
        <v>202</v>
      </c>
      <c r="C29" s="78"/>
      <c r="D29" s="78"/>
      <c r="E29" s="36">
        <v>5</v>
      </c>
      <c r="F29" s="27">
        <v>3.75</v>
      </c>
      <c r="G29" s="37">
        <f t="shared" si="0"/>
        <v>0.75</v>
      </c>
      <c r="H29" s="38" t="str">
        <f t="shared" si="1"/>
        <v>جيد</v>
      </c>
      <c r="I29" s="71"/>
      <c r="J29" s="72"/>
    </row>
    <row r="30" spans="1:10" ht="30" customHeight="1">
      <c r="A30" s="10"/>
      <c r="B30" s="79" t="s">
        <v>203</v>
      </c>
      <c r="C30" s="80"/>
      <c r="D30" s="80"/>
      <c r="E30" s="32"/>
      <c r="F30" s="33"/>
      <c r="G30" s="34"/>
      <c r="H30" s="35"/>
      <c r="I30" s="46"/>
      <c r="J30" s="47"/>
    </row>
    <row r="31" spans="1:10" ht="30" customHeight="1">
      <c r="A31" s="10"/>
      <c r="B31" s="81" t="s">
        <v>204</v>
      </c>
      <c r="C31" s="82"/>
      <c r="D31" s="82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4"/>
      <c r="J31" s="45"/>
    </row>
    <row r="32" spans="1:10" ht="39.950000000000003" customHeight="1" thickBot="1">
      <c r="A32" s="10"/>
      <c r="B32" s="77" t="s">
        <v>205</v>
      </c>
      <c r="C32" s="78"/>
      <c r="D32" s="78"/>
      <c r="E32" s="36">
        <v>5</v>
      </c>
      <c r="F32" s="27">
        <v>3.75</v>
      </c>
      <c r="G32" s="37">
        <f t="shared" si="0"/>
        <v>0.75</v>
      </c>
      <c r="H32" s="38" t="str">
        <f t="shared" si="1"/>
        <v>جيد</v>
      </c>
      <c r="I32" s="71"/>
      <c r="J32" s="72"/>
    </row>
    <row r="33" spans="1:10" ht="30" customHeight="1">
      <c r="A33" s="10"/>
      <c r="B33" s="79" t="s">
        <v>206</v>
      </c>
      <c r="C33" s="80"/>
      <c r="D33" s="80"/>
      <c r="E33" s="32"/>
      <c r="F33" s="33"/>
      <c r="G33" s="34"/>
      <c r="H33" s="35"/>
      <c r="I33" s="46"/>
      <c r="J33" s="47"/>
    </row>
    <row r="34" spans="1:10" ht="30" customHeight="1">
      <c r="A34" s="10"/>
      <c r="B34" s="81" t="s">
        <v>207</v>
      </c>
      <c r="C34" s="82"/>
      <c r="D34" s="82"/>
      <c r="E34" s="9">
        <v>5</v>
      </c>
      <c r="F34" s="26">
        <v>3.75</v>
      </c>
      <c r="G34" s="30">
        <f t="shared" si="0"/>
        <v>0.75</v>
      </c>
      <c r="H34" s="31" t="str">
        <f t="shared" si="1"/>
        <v>جيد</v>
      </c>
      <c r="I34" s="44"/>
      <c r="J34" s="45"/>
    </row>
    <row r="35" spans="1:10" ht="39.950000000000003" customHeight="1">
      <c r="A35" s="10"/>
      <c r="B35" s="81" t="s">
        <v>208</v>
      </c>
      <c r="C35" s="82"/>
      <c r="D35" s="82"/>
      <c r="E35" s="9">
        <v>5</v>
      </c>
      <c r="F35" s="26">
        <v>3.75</v>
      </c>
      <c r="G35" s="30">
        <f t="shared" si="0"/>
        <v>0.75</v>
      </c>
      <c r="H35" s="31" t="str">
        <f t="shared" si="1"/>
        <v>جيد</v>
      </c>
      <c r="I35" s="44"/>
      <c r="J35" s="45"/>
    </row>
    <row r="36" spans="1:10" ht="39.950000000000003" customHeight="1">
      <c r="A36" s="10"/>
      <c r="B36" s="81" t="s">
        <v>209</v>
      </c>
      <c r="C36" s="82"/>
      <c r="D36" s="82"/>
      <c r="E36" s="9">
        <v>5</v>
      </c>
      <c r="F36" s="26">
        <v>3.75</v>
      </c>
      <c r="G36" s="30">
        <f t="shared" si="0"/>
        <v>0.75</v>
      </c>
      <c r="H36" s="31" t="str">
        <f t="shared" si="1"/>
        <v>جيد</v>
      </c>
      <c r="I36" s="44"/>
      <c r="J36" s="45"/>
    </row>
    <row r="37" spans="1:10" ht="30" customHeight="1" thickBot="1">
      <c r="A37" s="10"/>
      <c r="B37" s="77" t="s">
        <v>210</v>
      </c>
      <c r="C37" s="78"/>
      <c r="D37" s="78"/>
      <c r="E37" s="36">
        <v>5</v>
      </c>
      <c r="F37" s="27">
        <v>3.5</v>
      </c>
      <c r="G37" s="37">
        <f t="shared" si="0"/>
        <v>0.7</v>
      </c>
      <c r="H37" s="38" t="str">
        <f t="shared" si="1"/>
        <v>جيد</v>
      </c>
      <c r="I37" s="71"/>
      <c r="J37" s="72"/>
    </row>
    <row r="38" spans="1:10" ht="30" customHeight="1" thickBot="1">
      <c r="A38" s="4"/>
      <c r="B38" s="73" t="s">
        <v>5</v>
      </c>
      <c r="C38" s="74"/>
      <c r="D38" s="74"/>
      <c r="E38" s="29">
        <f>SUM(E8:E37)</f>
        <v>125</v>
      </c>
      <c r="F38" s="29">
        <f>SUM(F8:F37)</f>
        <v>93.5</v>
      </c>
      <c r="G38" s="41"/>
      <c r="H38" s="42"/>
      <c r="I38" s="42"/>
      <c r="J38" s="43"/>
    </row>
    <row r="39" spans="1:10" ht="30" customHeight="1" thickBot="1">
      <c r="A39" s="4"/>
      <c r="B39" s="75" t="s">
        <v>54</v>
      </c>
      <c r="C39" s="76"/>
      <c r="D39" s="76"/>
      <c r="E39" s="67">
        <f>F38/E38/100*100</f>
        <v>0.748</v>
      </c>
      <c r="F39" s="67"/>
      <c r="G39" s="67"/>
      <c r="H39" s="67"/>
      <c r="I39" s="67"/>
      <c r="J39" s="68"/>
    </row>
    <row r="40" spans="1:10" ht="30" customHeight="1" thickBot="1">
      <c r="A40" s="4"/>
      <c r="B40" s="75" t="s">
        <v>55</v>
      </c>
      <c r="C40" s="76"/>
      <c r="D40" s="76"/>
      <c r="E40" s="58" t="str">
        <f>_xlfn.IFS(E39&gt;=90%,"ممتاز",E39&gt;=80%,"جيد جداً",E39&gt;=70%,"جيد",E39&gt;=60%,"مقبول",E39&lt;60%,"راسب")</f>
        <v>جيد</v>
      </c>
      <c r="F40" s="58"/>
      <c r="G40" s="58"/>
      <c r="H40" s="58"/>
      <c r="I40" s="58"/>
      <c r="J40" s="59"/>
    </row>
    <row r="41" spans="1:10" ht="42" customHeight="1">
      <c r="B41" s="54" t="s">
        <v>174</v>
      </c>
      <c r="C41" s="54"/>
      <c r="D41" s="54"/>
      <c r="E41" s="39" t="s">
        <v>52</v>
      </c>
      <c r="F41" s="39"/>
      <c r="G41" s="56" t="s">
        <v>115</v>
      </c>
      <c r="H41" s="56"/>
      <c r="I41" s="56"/>
      <c r="J41" s="56"/>
    </row>
    <row r="42" spans="1:10" ht="51" customHeight="1">
      <c r="A42" s="5"/>
      <c r="B42" s="55"/>
      <c r="C42" s="55"/>
      <c r="D42" s="55"/>
      <c r="E42" s="40" t="s">
        <v>53</v>
      </c>
      <c r="F42" s="40"/>
      <c r="G42" s="57"/>
      <c r="H42" s="57"/>
      <c r="I42" s="57"/>
      <c r="J42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1">
    <mergeCell ref="B20:D20"/>
    <mergeCell ref="B21:D21"/>
    <mergeCell ref="B35:D35"/>
    <mergeCell ref="B36:D36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38:D38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8:J8"/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58">
      <formula>$E40="مقبول"</formula>
    </cfRule>
    <cfRule type="expression" dxfId="12" priority="59">
      <formula>$E40="جيد"</formula>
    </cfRule>
    <cfRule type="expression" dxfId="11" priority="60">
      <formula>$E40="جيد جداً"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F9:F17 F19:F22 F24:F29 F31:F32 F34:F37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2025-09-23T07:17:01Z</dcterms:modified>
</cp:coreProperties>
</file>