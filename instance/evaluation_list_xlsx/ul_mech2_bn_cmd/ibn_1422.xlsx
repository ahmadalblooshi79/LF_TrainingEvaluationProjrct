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C024AE5-4999-9549-A285-F3068C84594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<sst xmlns="http://schemas.openxmlformats.org/spreadsheetml/2006/main" count="269" uniqueCount="213">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</sst>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67214</xdr:colOff>
      <xdr:row>43</xdr:row>
      <xdr:rowOff>31087</xdr:rowOff>
    </xdr:from>
    <xdr:to>
      <xdr:col>8</xdr:col>
      <xdr:colOff>580991</xdr:colOff>
      <xdr:row>43</xdr:row>
      <xdr:rowOff>369847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D9EBE66-9BAB-7291-81AA-3E4770C7F678}"/>
                </a:ext>
              </a:extLst>
            </xdr14:cNvPr>
            <xdr14:cNvContentPartPr/>
          </xdr14:nvContentPartPr>
          <xdr14:nvPr macro=""/>
          <xdr14:xfrm>
            <a:off x="10423121809" y="16934040"/>
            <a:ext cx="1168200" cy="3387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D9EBE66-9BAB-7291-81AA-3E4770C7F6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13169" y="16925400"/>
              <a:ext cx="1185840" cy="35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451694</xdr:colOff>
      <xdr:row>43</xdr:row>
      <xdr:rowOff>162487</xdr:rowOff>
    </xdr:from>
    <xdr:to>
      <xdr:col>8</xdr:col>
      <xdr:colOff>547151</xdr:colOff>
      <xdr:row>43</xdr:row>
      <xdr:rowOff>543367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B4E9502-4832-DAF8-3F4D-513B7DA1F1BD}"/>
                </a:ext>
              </a:extLst>
            </xdr14:cNvPr>
            <xdr14:cNvContentPartPr/>
          </xdr14:nvContentPartPr>
          <xdr14:nvPr macro=""/>
          <xdr14:xfrm>
            <a:off x="10423155649" y="17065440"/>
            <a:ext cx="749880" cy="380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B4E9502-4832-DAF8-3F4D-513B7DA1F1B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46649" y="17056440"/>
              <a:ext cx="767520" cy="398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7:12.8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2619 654 1088,'0'0'0,"0"0"880,0 0-808,0-2 16,0 2-88,0-3 96,0 1-8,0 0-48,0-1-24,0 1-40,3-1-16,-3 3 0,2-2 0,-2 2 40,2 0-40,-2 0 24,3 0 8,-3-2 8,2 2 16,-2 0 16,0 0-32,3 0 48,-3-3 32,2 3 24,-2 0 16,0-2 32,0 2 0,0 0-152,3 0 176,-3 0 24,0 0-24,2 0-8,-2 0-16,0 0-16,0 0-136,2-3 128,-2 3 16,3 0 0,-3 0-8,2-2-8,-2 2-24,0 0-104,2-2 81,2 2 7,-1-3-16,-1 3 0,0-2-16,2 2-8,-4 0-48,3-3 48,8 1-16,-8 0 8,0-1-16,8 1-8,-9-1 0,-2 3-16,11-2 24,-1-2-16,-7 2 8,12-2-8,-3 1 0,-2-1 0,-10 4-8,14-2 56,-1-2-56,1 2 0,2-1-16,1 0-48,-1 0 48,-16 3 16,17-2-8,0 0 0,1-1-8,1 3-8,-1-2-16,-1 2-16,-17 0 56,18 0-8,-1 0-40,-1 0 0,1 0 16,-1 0-48,-1 1 88,-15-1-8,16 1 32,-1 2-64,1 0 16,-2 1-56,1 1-24,-2-2 40,-13-3 56,12 4 0,0 1-25,-2-2 1,-1 7 24,-5-7-24,8 1 24,-12-4 0,3 5-24,8 0 24,-9-1 0,2 6 0,0-8 40,-1 3 41,-3-5-81,4 5 48,-1 5 16,1-8 0,-2 2-56,1-1 88,-3 2 8,0-5-104,0 5 160,0 4 40,0-5-16,0 5 56,0-5-24,-3 7-32,3-11-184,-3 3 144,-7 9-32,7-1-56,-10 1 88,3-1-48,-1 0-40,11-11-56,-11 11 48,-2-2-64,-2 2 0,-1 0 88,-1 0-56,-1-1-16,18-10 0,-19 11-8,0 0-104,-1-2 48,-1 2-8,2-1-16,-1-1 16,20-9 72,-20 10-48,1-5 8,0 4 48,0-5 32,0 1-24,-1 4-32,20-9 16,-17 2 56,-4 0-40,2 0 80,0 0 24,-1-2-16,2 0 0,18 0-104,-18 0 112,1-4 40,1-7 8,-1 9 0,2-8 0,-1 7-24,16 3-136,-15-15 104,-2 4-48,0-1 56,0-1-16,2-1 8,-1 1 72,16 13-176,-15-15 120,0 2 72,1 0 32,-3 0-32,3 0 17,-2-1-65,16 14-144,-15-13 160,0-1 56,0 2 32,0-1-56,0 1-48,-2 2-64,17 10-80,-18-11 32,0 1-40,-1 0 48,-1 6-64,3-8-48,-3 10-8,20 2 80,-19-2-168,0-2 40,-1 2 8,-1 2 32,0 0-24,-2 1 48,23-1 64,-24 3-80,-1 1 0,0 6 16,-3-7 24,1 2 8,0 6 24,27-11 8,-26 2-32,1 2 48,-1 1-24,1-2 8,0 1 8,0-1-16,25-3 8,-24 2 40,1-2 32,-1 0 16,3 0 64,-2-3 80,1 0 16,22 3-248,-21-11 368,2 7-8,-2-9-16,3 3 0,-1 0-56,0-1-16,19 11-272,-19-13 256,1-1-24,0-1 0,1-1-16,0-2-24,2 2-16,15 16-176,-16-20 152,2 1-24,-1 0-31,3 1 7,0 0 0,3 1 24,9 17-128,-10-17 192,0 2 8,7-1 32,-8 0-8,7 0-40,0 0-16,4 16-168,-4-15 136,1-2-48,-1 0-16,3 2-16,0 0-16,1 0-32,0 15-8,0-15-32,0 1-16,2 1-16,2 0-24,-1-1 8,8 1-32,-11 13 112,4-12-128,7-1-16,0 1 16,0 0-16,1 0 0,0 1 8,-12 11 136,14-9-152,2 5-8,1-9 0,1 9-24,1-5-9,1 6 17,-20 3 176,24-3-152,0-7 0,1 8-24,1-1-40,-1 0-16,-25 3 232,27-3-216,2 1 8,1 2 56,0 0-8,1 0-16,2 1 16,0 2-16,-33-3 176,32 3-176,-1 2-8,2 5-24,1-7 8,-2 2-16,-32-5 216,33 12-216,0-7-32,-3 8-40,-2-2-32,1-1-33,-2 2 17,-27-12 336,25 12-328,0-1 48,-1 1 56,-1 1 24,-2-1 32,-1 2-32,-20-14 200,17 12-248,-2 0-80,-3 0-72,-1-2-48,-8 1 16,8 0 88,-11-11 344,2 11-280,1-1 136,-3 1 88,0 0 56,-1 1 80,-3-1-8,4-11-72,-5 11 104,-8-2 8,2 1 0,-2-1 0,-3 1-8,-2 0-24,18-10-80,-19 4 80,-1 9 8,-3-2 0,-1 0 8,-1 1 0,-1-2 0,26-10-96,-28 9 88,1 1 24,-1-1-8,-1 1 0,-1-5 24,0 8-32,30-13-96,-29 5 104,0 6-8,2-8-16,1 7 0,-2-7-32,2 2-40,26-5-8,-27 10 48,0-7-40,-1 8-8,1-7 32,-2 9-80,2-4 104,27-9-56,-29 5 32,0 8-8,0-2 16,-2-1-64,0 2 80,-1 1 0,32-13-56,-32 13-16,0 0 24,0 2-56,1-1-8,-3 0 40,0 1 88,34-15-72,-36 14 16,2 2 0,-1-2 24,0 1-64,2 1 104,-1-2-56,34-14-24,-34 13 72,1 0-24,-1-1-32,2-1 120,0-1-32,0 0-40,32-10-64,-29 5 112,-3 6-72,2-8 0,-1 1 96,0 1-96,0-2 0,31-3-40,-31 4 0,0-1-72,-1 1-24,1-3 8,-1 0-24,-3 1-184,35-2 296,-35 0-360,-1 0-176,0 0-184,2 0-16,-1 0-161,2 1 65,33-1 832,-35 1-616,1 0 176,1 0 272,0 2 80,2-2 32,2 0 16,29-1 40,-26 1-32,1 1 24,1-1-16,1-1 32,3 0-40,2 0-1824,18 0 1856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37:14.1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1757 0 4737,'0'0'0,"0"0"1760,-2 0-392,-3 0-792,5 0-576,-10 0 176,7 2-144,-8 0-72,6 2-8,-8 0-16,3 1-8,10-5 72,-10 10-72,-1-7 8,-3 7 8,-2-5 8,-4 7 16,-2-8 16,22-4 16,-24 15 64,-2-4 56,-3-1 32,-1 4 64,-5-1 8,-2 0 64,37-13-288,-37 14 401,-3 1 63,0-1 56,-4 2 48,-1-2-8,-2 2 24,47-16-584,-48 15 536,0 1-88,0-2-96,-2 2-112,0-3-88,-1 0-31,51-13-121,-51 12 96,-1 0-16,2 1-16,-2-1 24,3-1 0,1 0-48,48-11-40,-47 9 72,1-4-24,1 7-40,2-8 0,3 5-48,2-7-160,38-2 200,-32 2-416,2-1-329,4 0-543,2-1-584,3 0-545,5-2-15,16 2 2432,-15-10-1705,4 7 673,2-14-1352,9 17 2384</inkml:trace>
  <inkml:trace contextRef="#ctx0" brushRef="#br0" timeOffset="1">1159 23 9890,'0'0'0,"0"0"0,0 1 4217,-1-1-2281,-2 0-952,0 0-688,-7 1-104,7 2-184,3-3-8,-12 3-72,2 1-8,-1 6-48,0-7 24,1 2 24,-1 7 80,11-12 0,-12 4-120,-1-1 40,-1 7-8,-3-7-16,-2 7-24,-4-6 144,23-4-16,-24 12-112,-4-2 16,-1 0 136,-2 2-176,-1 0 248,-1 1-56,33-13-56,-33 12-16,1 0 32,-3 0-120,3-2 104,-1 0 0,2 0-32,31-10 32,-29 11 0,2-2-136,1-5 24,4 8-136,0-8-312,4 0-352,18-4 912,-15 4-1385,3 0-455,2-4-513,6 0-63,1 0 487,2-4 649,1 4 1280,0-4-648,2-10 408,8 3-1752,-10 11 1992</inkml:trace>
  <inkml:trace contextRef="#ctx0" brushRef="#br0" timeOffset="2">501 188 4785,'0'0'0,"-18"3"1808,-5 2-96,-7 5-655,30-10-1057,-31 5 640,4 7-280,-3-2-192,3-1 32,1 1-32,1 0 24,25-10-192,-23 4 280,0 6-24,2-6 112,-1 0-40,3 0 32,0 0-40,1-2-48,18-2-272,-17 1 288,1-1-176,2 0 96,1-2-15,2-2 23,2 1 64,9 3-280,-5-10 168,-7 6 8,8-8-120,-5 9 16,6-10-72,1 2-88,2 11 88,-1-11-120,0 0-40,-1-1-144,2 0-41,3 0 17,0 0-40,-3 12 368,10-10-248,-7 0 88,8 6 8,-7-10 0,11 4 8,-3 7-64,-12 3 208,14-13-152,1 9 16,1-7 8,2 9 40,0-2 16,1 1-24,-19 3 96,19-4-72,1 0-24,1 4 16,-1 0-16,-1 0-8,1 2 0,-20-2 104,18 3-96,-1 7-32,1-7 0,0 11-16,-1-2 0,0 1 8,-17-13 136,17 15-136,-1 1-8,0 1 16,-2-1 0,0 4 8,-2-1 8,-12-19 112,10 21-128,1 1 15,-1 2 9,-7 1 0,9 1 32,-8 2 0,-4-28 72,10 30-88,-8 2 16,2 2 0,-2 1-16,1 1 24,1 0 0,-4-36 64,4 37-40,-1 2-8,1 0 16,7-3 8,-8-2 8,10-1 40,-13-33-24,14 28 104,1 1 128,3-2 160,5-1 241,1-2 159,5-1 136,-29-23-928,31 20 960,1-1 8,5-3-71,3-2-81,2-2-104,3-2-120,-45-10-592,47 3 496,1 7-64,2-9-40,3 0-32,1-1 0,-54 0-360,55 0 361,0-9-17,-2 5 8,0-8-64,0 9-56,-3-9-80,-50 12-152,49-4 80,-2-10-48,-4 10-8,0-10 32,-3 10-24,-5-9-16,-35 13-16,34-4-40,-3-7-72,-3 8-208,0-7-336,1 7-497,-1-7-615,-28 10 1768,26-2-2297,-2-2-759,-1-5-649,0 6 1008,-2-8 937,1 8-864,-22 3 2624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A38" zoomScale="130" zoomScaleNormal="100" zoomScaleSheetLayoutView="130" workbookViewId="0">
      <selection activeCell="G44" sqref="G44:J4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4" t="s">
        <v>212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2">
      <c r="B2" s="12" t="s">
        <v>8</v>
      </c>
      <c r="C2" s="70" t="s">
        <v>36</v>
      </c>
      <c r="D2" s="70"/>
      <c r="E2" s="12" t="s">
        <v>7</v>
      </c>
      <c r="F2" s="65">
        <v>45933</v>
      </c>
      <c r="G2" s="65"/>
      <c r="H2" s="65"/>
      <c r="I2" s="65"/>
      <c r="J2" s="65"/>
    </row>
    <row r="3" spans="1:10" ht="30" customHeight="1" x14ac:dyDescent="0.2">
      <c r="B3" s="12" t="s">
        <v>9</v>
      </c>
      <c r="C3" s="70" t="s">
        <v>77</v>
      </c>
      <c r="D3" s="70"/>
      <c r="E3" s="12" t="s">
        <v>6</v>
      </c>
      <c r="F3" s="70" t="s">
        <v>92</v>
      </c>
      <c r="G3" s="70"/>
      <c r="H3" s="70"/>
      <c r="I3" s="70"/>
      <c r="J3" s="7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6" t="s">
        <v>0</v>
      </c>
      <c r="C5" s="67"/>
      <c r="D5" s="67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68"/>
      <c r="C6" s="69"/>
      <c r="D6" s="69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73" t="s">
        <v>21</v>
      </c>
      <c r="C7" s="74"/>
      <c r="D7" s="74"/>
      <c r="E7" s="32" t="s">
        <v>18</v>
      </c>
      <c r="F7" s="32" t="s">
        <v>19</v>
      </c>
      <c r="G7" s="32" t="s">
        <v>22</v>
      </c>
      <c r="H7" s="32" t="s">
        <v>20</v>
      </c>
      <c r="I7" s="52" t="s">
        <v>25</v>
      </c>
      <c r="J7" s="53"/>
    </row>
    <row r="8" spans="1:10" ht="30" customHeight="1" x14ac:dyDescent="0.2">
      <c r="A8" s="10"/>
      <c r="B8" s="79" t="s">
        <v>180</v>
      </c>
      <c r="C8" s="80"/>
      <c r="D8" s="80"/>
      <c r="E8" s="30"/>
      <c r="F8" s="36"/>
      <c r="G8" s="37"/>
      <c r="H8" s="38"/>
      <c r="I8" s="56"/>
      <c r="J8" s="57"/>
    </row>
    <row r="9" spans="1:10" ht="30" customHeight="1" x14ac:dyDescent="0.2">
      <c r="A9" s="10"/>
      <c r="B9" s="81" t="s">
        <v>181</v>
      </c>
      <c r="C9" s="82"/>
      <c r="D9" s="82"/>
      <c r="E9" s="28">
        <v>5</v>
      </c>
      <c r="F9" s="26">
        <v>4</v>
      </c>
      <c r="G9" s="34">
        <f>IFERROR(F9/E9,"")</f>
        <v>0.8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6"/>
      <c r="J9" s="47"/>
    </row>
    <row r="10" spans="1:10" ht="30" customHeight="1" x14ac:dyDescent="0.2">
      <c r="A10" s="10"/>
      <c r="B10" s="81" t="s">
        <v>182</v>
      </c>
      <c r="C10" s="82"/>
      <c r="D10" s="82"/>
      <c r="E10" s="28">
        <v>6</v>
      </c>
      <c r="F10" s="26">
        <v>5</v>
      </c>
      <c r="G10" s="34">
        <f t="shared" ref="G10:G39" si="0">IFERROR(F10/E10,"")</f>
        <v>0.83333333333333337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2">
      <c r="A11" s="10"/>
      <c r="B11" s="81" t="s">
        <v>183</v>
      </c>
      <c r="C11" s="82"/>
      <c r="D11" s="82"/>
      <c r="E11" s="28">
        <v>6</v>
      </c>
      <c r="F11" s="26">
        <v>5.25</v>
      </c>
      <c r="G11" s="34">
        <f t="shared" si="0"/>
        <v>0.875</v>
      </c>
      <c r="H11" s="35" t="str">
        <f t="shared" si="1"/>
        <v>جيد جداً</v>
      </c>
      <c r="I11" s="46"/>
      <c r="J11" s="47"/>
    </row>
    <row r="12" spans="1:10" ht="30" customHeight="1" thickBot="1" x14ac:dyDescent="0.25">
      <c r="A12" s="10"/>
      <c r="B12" s="83" t="s">
        <v>184</v>
      </c>
      <c r="C12" s="84"/>
      <c r="D12" s="84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4"/>
      <c r="J12" s="55"/>
    </row>
    <row r="13" spans="1:10" ht="30" customHeight="1" x14ac:dyDescent="0.2">
      <c r="A13" s="10"/>
      <c r="B13" s="79" t="s">
        <v>185</v>
      </c>
      <c r="C13" s="80"/>
      <c r="D13" s="80"/>
      <c r="E13" s="30"/>
      <c r="F13" s="36"/>
      <c r="G13" s="37"/>
      <c r="H13" s="38"/>
      <c r="I13" s="56"/>
      <c r="J13" s="57"/>
    </row>
    <row r="14" spans="1:10" ht="30" customHeight="1" x14ac:dyDescent="0.2">
      <c r="A14" s="10"/>
      <c r="B14" s="81" t="s">
        <v>186</v>
      </c>
      <c r="C14" s="82"/>
      <c r="D14" s="82"/>
      <c r="E14" s="9">
        <v>8</v>
      </c>
      <c r="F14" s="26">
        <v>5.75</v>
      </c>
      <c r="G14" s="34">
        <f t="shared" si="0"/>
        <v>0.71875</v>
      </c>
      <c r="H14" s="35" t="str">
        <f t="shared" si="1"/>
        <v>جيد</v>
      </c>
      <c r="I14" s="46"/>
      <c r="J14" s="47"/>
    </row>
    <row r="15" spans="1:10" ht="30" customHeight="1" x14ac:dyDescent="0.2">
      <c r="A15" s="10"/>
      <c r="B15" s="81" t="s">
        <v>187</v>
      </c>
      <c r="C15" s="82"/>
      <c r="D15" s="82"/>
      <c r="E15" s="9">
        <v>8</v>
      </c>
      <c r="F15" s="26">
        <v>6.5</v>
      </c>
      <c r="G15" s="34">
        <f t="shared" si="0"/>
        <v>0.8125</v>
      </c>
      <c r="H15" s="35" t="str">
        <f t="shared" si="1"/>
        <v>جيد جداً</v>
      </c>
      <c r="I15" s="46"/>
      <c r="J15" s="47"/>
    </row>
    <row r="16" spans="1:10" ht="30" customHeight="1" x14ac:dyDescent="0.2">
      <c r="A16" s="10"/>
      <c r="B16" s="81" t="s">
        <v>188</v>
      </c>
      <c r="C16" s="82"/>
      <c r="D16" s="82"/>
      <c r="E16" s="9">
        <v>5</v>
      </c>
      <c r="F16" s="26">
        <v>4</v>
      </c>
      <c r="G16" s="34">
        <f t="shared" si="0"/>
        <v>0.8</v>
      </c>
      <c r="H16" s="35" t="str">
        <f t="shared" si="1"/>
        <v>جيد جداً</v>
      </c>
      <c r="I16" s="46"/>
      <c r="J16" s="47"/>
    </row>
    <row r="17" spans="1:10" ht="30" customHeight="1" thickBot="1" x14ac:dyDescent="0.25">
      <c r="A17" s="10"/>
      <c r="B17" s="83" t="s">
        <v>189</v>
      </c>
      <c r="C17" s="84"/>
      <c r="D17" s="84"/>
      <c r="E17" s="31">
        <v>6</v>
      </c>
      <c r="F17" s="27">
        <v>5.25</v>
      </c>
      <c r="G17" s="39">
        <f t="shared" si="0"/>
        <v>0.875</v>
      </c>
      <c r="H17" s="40" t="str">
        <f t="shared" si="1"/>
        <v>جيد جداً</v>
      </c>
      <c r="I17" s="54"/>
      <c r="J17" s="55"/>
    </row>
    <row r="18" spans="1:10" ht="30" customHeight="1" x14ac:dyDescent="0.2">
      <c r="A18" s="10"/>
      <c r="B18" s="79" t="s">
        <v>190</v>
      </c>
      <c r="C18" s="80"/>
      <c r="D18" s="80"/>
      <c r="E18" s="30"/>
      <c r="F18" s="36"/>
      <c r="G18" s="37"/>
      <c r="H18" s="38"/>
      <c r="I18" s="56"/>
      <c r="J18" s="57"/>
    </row>
    <row r="19" spans="1:10" ht="30" customHeight="1" x14ac:dyDescent="0.2">
      <c r="A19" s="10"/>
      <c r="B19" s="81" t="s">
        <v>191</v>
      </c>
      <c r="C19" s="82"/>
      <c r="D19" s="82"/>
      <c r="E19" s="28">
        <v>6</v>
      </c>
      <c r="F19" s="26">
        <v>3.25</v>
      </c>
      <c r="G19" s="34">
        <f t="shared" si="0"/>
        <v>0.54166666666666663</v>
      </c>
      <c r="H19" s="35" t="str">
        <f t="shared" si="1"/>
        <v>راسب</v>
      </c>
      <c r="I19" s="46"/>
      <c r="J19" s="47"/>
    </row>
    <row r="20" spans="1:10" ht="30" customHeight="1" x14ac:dyDescent="0.2">
      <c r="A20" s="10"/>
      <c r="B20" s="81" t="s">
        <v>192</v>
      </c>
      <c r="C20" s="82"/>
      <c r="D20" s="82"/>
      <c r="E20" s="28">
        <v>6</v>
      </c>
      <c r="F20" s="26">
        <v>5</v>
      </c>
      <c r="G20" s="34">
        <f t="shared" si="0"/>
        <v>0.83333333333333337</v>
      </c>
      <c r="H20" s="35" t="str">
        <f t="shared" si="1"/>
        <v>جيد جداً</v>
      </c>
      <c r="I20" s="46"/>
      <c r="J20" s="47"/>
    </row>
    <row r="21" spans="1:10" ht="30" customHeight="1" x14ac:dyDescent="0.2">
      <c r="A21" s="10"/>
      <c r="B21" s="81" t="s">
        <v>193</v>
      </c>
      <c r="C21" s="82"/>
      <c r="D21" s="82"/>
      <c r="E21" s="28">
        <v>6</v>
      </c>
      <c r="F21" s="26">
        <v>4.25</v>
      </c>
      <c r="G21" s="34">
        <f t="shared" si="0"/>
        <v>0.70833333333333337</v>
      </c>
      <c r="H21" s="35" t="str">
        <f t="shared" si="1"/>
        <v>جيد</v>
      </c>
      <c r="I21" s="46"/>
      <c r="J21" s="47"/>
    </row>
    <row r="22" spans="1:10" ht="39.950000000000003" customHeight="1" x14ac:dyDescent="0.2">
      <c r="A22" s="10"/>
      <c r="B22" s="81" t="s">
        <v>194</v>
      </c>
      <c r="C22" s="82"/>
      <c r="D22" s="82"/>
      <c r="E22" s="28">
        <v>6</v>
      </c>
      <c r="F22" s="26">
        <v>4.75</v>
      </c>
      <c r="G22" s="34">
        <f t="shared" si="0"/>
        <v>0.79166666666666663</v>
      </c>
      <c r="H22" s="35" t="str">
        <f t="shared" si="1"/>
        <v>جيد</v>
      </c>
      <c r="I22" s="46"/>
      <c r="J22" s="47"/>
    </row>
    <row r="23" spans="1:10" ht="30" customHeight="1" thickBot="1" x14ac:dyDescent="0.25">
      <c r="A23" s="10"/>
      <c r="B23" s="83" t="s">
        <v>195</v>
      </c>
      <c r="C23" s="84"/>
      <c r="D23" s="84"/>
      <c r="E23" s="29">
        <v>6</v>
      </c>
      <c r="F23" s="27">
        <v>4.25</v>
      </c>
      <c r="G23" s="39">
        <f t="shared" si="0"/>
        <v>0.70833333333333337</v>
      </c>
      <c r="H23" s="40" t="str">
        <f t="shared" si="1"/>
        <v>جيد</v>
      </c>
      <c r="I23" s="54"/>
      <c r="J23" s="55"/>
    </row>
    <row r="24" spans="1:10" ht="30" customHeight="1" x14ac:dyDescent="0.2">
      <c r="A24" s="10"/>
      <c r="B24" s="79" t="s">
        <v>196</v>
      </c>
      <c r="C24" s="80"/>
      <c r="D24" s="80"/>
      <c r="E24" s="30"/>
      <c r="F24" s="36"/>
      <c r="G24" s="37"/>
      <c r="H24" s="38"/>
      <c r="I24" s="56"/>
      <c r="J24" s="57"/>
    </row>
    <row r="25" spans="1:10" ht="39.950000000000003" customHeight="1" x14ac:dyDescent="0.2">
      <c r="A25" s="10"/>
      <c r="B25" s="85" t="s">
        <v>197</v>
      </c>
      <c r="C25" s="86"/>
      <c r="D25" s="86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46"/>
      <c r="J25" s="47"/>
    </row>
    <row r="26" spans="1:10" ht="39.950000000000003" customHeight="1" x14ac:dyDescent="0.2">
      <c r="A26" s="10"/>
      <c r="B26" s="85" t="s">
        <v>198</v>
      </c>
      <c r="C26" s="86"/>
      <c r="D26" s="86"/>
      <c r="E26" s="28">
        <v>5</v>
      </c>
      <c r="F26" s="26">
        <v>3.75</v>
      </c>
      <c r="G26" s="34">
        <f t="shared" si="0"/>
        <v>0.75</v>
      </c>
      <c r="H26" s="35" t="str">
        <f t="shared" si="1"/>
        <v>جيد</v>
      </c>
      <c r="I26" s="46"/>
      <c r="J26" s="47"/>
    </row>
    <row r="27" spans="1:10" ht="30" customHeight="1" x14ac:dyDescent="0.2">
      <c r="A27" s="10"/>
      <c r="B27" s="85" t="s">
        <v>199</v>
      </c>
      <c r="C27" s="86"/>
      <c r="D27" s="86"/>
      <c r="E27" s="28">
        <v>5</v>
      </c>
      <c r="F27" s="26">
        <v>3.25</v>
      </c>
      <c r="G27" s="34">
        <f t="shared" si="0"/>
        <v>0.65</v>
      </c>
      <c r="H27" s="35" t="str">
        <f t="shared" si="1"/>
        <v>مقبول</v>
      </c>
      <c r="I27" s="46"/>
      <c r="J27" s="47"/>
    </row>
    <row r="28" spans="1:10" ht="30" customHeight="1" x14ac:dyDescent="0.2">
      <c r="A28" s="10"/>
      <c r="B28" s="85" t="s">
        <v>200</v>
      </c>
      <c r="C28" s="86"/>
      <c r="D28" s="86"/>
      <c r="E28" s="28">
        <v>5</v>
      </c>
      <c r="F28" s="26">
        <v>3.75</v>
      </c>
      <c r="G28" s="34">
        <f t="shared" si="0"/>
        <v>0.75</v>
      </c>
      <c r="H28" s="35" t="str">
        <f t="shared" si="1"/>
        <v>جيد</v>
      </c>
      <c r="I28" s="46"/>
      <c r="J28" s="47"/>
    </row>
    <row r="29" spans="1:10" ht="30" customHeight="1" x14ac:dyDescent="0.2">
      <c r="A29" s="10"/>
      <c r="B29" s="85" t="s">
        <v>201</v>
      </c>
      <c r="C29" s="86"/>
      <c r="D29" s="86"/>
      <c r="E29" s="28">
        <v>5</v>
      </c>
      <c r="F29" s="26">
        <v>3.5</v>
      </c>
      <c r="G29" s="34">
        <f t="shared" si="0"/>
        <v>0.7</v>
      </c>
      <c r="H29" s="35" t="str">
        <f t="shared" si="1"/>
        <v>جيد</v>
      </c>
      <c r="I29" s="46"/>
      <c r="J29" s="47"/>
    </row>
    <row r="30" spans="1:10" ht="30" customHeight="1" x14ac:dyDescent="0.2">
      <c r="A30" s="10"/>
      <c r="B30" s="85" t="s">
        <v>202</v>
      </c>
      <c r="C30" s="86"/>
      <c r="D30" s="86"/>
      <c r="E30" s="28">
        <v>5</v>
      </c>
      <c r="F30" s="26">
        <v>3.25</v>
      </c>
      <c r="G30" s="34">
        <f t="shared" si="0"/>
        <v>0.65</v>
      </c>
      <c r="H30" s="35" t="str">
        <f t="shared" si="1"/>
        <v>مقبول</v>
      </c>
      <c r="I30" s="46"/>
      <c r="J30" s="47"/>
    </row>
    <row r="31" spans="1:10" ht="30" customHeight="1" x14ac:dyDescent="0.2">
      <c r="A31" s="10"/>
      <c r="B31" s="85" t="s">
        <v>203</v>
      </c>
      <c r="C31" s="86"/>
      <c r="D31" s="86"/>
      <c r="E31" s="28">
        <v>5</v>
      </c>
      <c r="F31" s="26">
        <v>2.75</v>
      </c>
      <c r="G31" s="34">
        <f t="shared" si="0"/>
        <v>0.55000000000000004</v>
      </c>
      <c r="H31" s="35" t="str">
        <f t="shared" si="1"/>
        <v>راسب</v>
      </c>
      <c r="I31" s="46"/>
      <c r="J31" s="47"/>
    </row>
    <row r="32" spans="1:10" ht="30" customHeight="1" x14ac:dyDescent="0.2">
      <c r="A32" s="10"/>
      <c r="B32" s="85" t="s">
        <v>204</v>
      </c>
      <c r="C32" s="86"/>
      <c r="D32" s="86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46"/>
      <c r="J32" s="47"/>
    </row>
    <row r="33" spans="1:10" ht="30" customHeight="1" x14ac:dyDescent="0.2">
      <c r="A33" s="10"/>
      <c r="B33" s="85" t="s">
        <v>205</v>
      </c>
      <c r="C33" s="86"/>
      <c r="D33" s="86"/>
      <c r="E33" s="28">
        <v>5</v>
      </c>
      <c r="F33" s="26">
        <v>3.5</v>
      </c>
      <c r="G33" s="34">
        <f t="shared" si="0"/>
        <v>0.7</v>
      </c>
      <c r="H33" s="35" t="str">
        <f t="shared" si="1"/>
        <v>جيد</v>
      </c>
      <c r="I33" s="46"/>
      <c r="J33" s="47"/>
    </row>
    <row r="34" spans="1:10" ht="30" customHeight="1" thickBot="1" x14ac:dyDescent="0.25">
      <c r="A34" s="10"/>
      <c r="B34" s="83" t="s">
        <v>206</v>
      </c>
      <c r="C34" s="84"/>
      <c r="D34" s="84"/>
      <c r="E34" s="29">
        <v>5</v>
      </c>
      <c r="F34" s="27">
        <v>3.75</v>
      </c>
      <c r="G34" s="39">
        <f t="shared" si="0"/>
        <v>0.75</v>
      </c>
      <c r="H34" s="40" t="str">
        <f t="shared" si="1"/>
        <v>جيد</v>
      </c>
      <c r="I34" s="54"/>
      <c r="J34" s="55"/>
    </row>
    <row r="35" spans="1:10" ht="30" customHeight="1" x14ac:dyDescent="0.2">
      <c r="A35" s="10"/>
      <c r="B35" s="87" t="s">
        <v>207</v>
      </c>
      <c r="C35" s="88"/>
      <c r="D35" s="88"/>
      <c r="E35" s="30"/>
      <c r="F35" s="36"/>
      <c r="G35" s="37"/>
      <c r="H35" s="38"/>
      <c r="I35" s="56"/>
      <c r="J35" s="57"/>
    </row>
    <row r="36" spans="1:10" ht="30" customHeight="1" x14ac:dyDescent="0.2">
      <c r="A36" s="10"/>
      <c r="B36" s="85" t="s">
        <v>208</v>
      </c>
      <c r="C36" s="86"/>
      <c r="D36" s="86"/>
      <c r="E36" s="9">
        <v>6</v>
      </c>
      <c r="F36" s="26">
        <v>3.75</v>
      </c>
      <c r="G36" s="34">
        <f t="shared" si="0"/>
        <v>0.625</v>
      </c>
      <c r="H36" s="35" t="str">
        <f t="shared" si="1"/>
        <v>مقبول</v>
      </c>
      <c r="I36" s="46"/>
      <c r="J36" s="47"/>
    </row>
    <row r="37" spans="1:10" ht="30" customHeight="1" x14ac:dyDescent="0.2">
      <c r="A37" s="10"/>
      <c r="B37" s="85" t="s">
        <v>209</v>
      </c>
      <c r="C37" s="86"/>
      <c r="D37" s="86"/>
      <c r="E37" s="9">
        <v>5</v>
      </c>
      <c r="F37" s="26">
        <v>3.75</v>
      </c>
      <c r="G37" s="34">
        <f t="shared" si="0"/>
        <v>0.75</v>
      </c>
      <c r="H37" s="35" t="str">
        <f t="shared" si="1"/>
        <v>جيد</v>
      </c>
      <c r="I37" s="46"/>
      <c r="J37" s="47"/>
    </row>
    <row r="38" spans="1:10" ht="30" customHeight="1" x14ac:dyDescent="0.2">
      <c r="A38" s="10"/>
      <c r="B38" s="85" t="s">
        <v>210</v>
      </c>
      <c r="C38" s="86"/>
      <c r="D38" s="86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46"/>
      <c r="J38" s="47"/>
    </row>
    <row r="39" spans="1:10" ht="30" customHeight="1" thickBot="1" x14ac:dyDescent="0.25">
      <c r="A39" s="10"/>
      <c r="B39" s="89" t="s">
        <v>211</v>
      </c>
      <c r="C39" s="90"/>
      <c r="D39" s="90"/>
      <c r="E39" s="31">
        <v>5</v>
      </c>
      <c r="F39" s="27">
        <v>4.25</v>
      </c>
      <c r="G39" s="39">
        <f t="shared" si="0"/>
        <v>0.85</v>
      </c>
      <c r="H39" s="40" t="str">
        <f t="shared" si="1"/>
        <v>جيد جداً</v>
      </c>
      <c r="I39" s="54"/>
      <c r="J39" s="55"/>
    </row>
    <row r="40" spans="1:10" ht="30" customHeight="1" thickBot="1" x14ac:dyDescent="0.25">
      <c r="A40" s="4"/>
      <c r="B40" s="75" t="s">
        <v>5</v>
      </c>
      <c r="C40" s="76"/>
      <c r="D40" s="76"/>
      <c r="E40" s="33">
        <f>SUM(E8:E39)</f>
        <v>150</v>
      </c>
      <c r="F40" s="33">
        <f>SUM(F8:F39)</f>
        <v>111.5</v>
      </c>
      <c r="G40" s="43"/>
      <c r="H40" s="44"/>
      <c r="I40" s="44"/>
      <c r="J40" s="45"/>
    </row>
    <row r="41" spans="1:10" ht="30" customHeight="1" thickBot="1" x14ac:dyDescent="0.25">
      <c r="A41" s="4"/>
      <c r="B41" s="77" t="s">
        <v>54</v>
      </c>
      <c r="C41" s="78"/>
      <c r="D41" s="78"/>
      <c r="E41" s="71">
        <f>F40/E40/100*100</f>
        <v>0.74333333333333329</v>
      </c>
      <c r="F41" s="71"/>
      <c r="G41" s="71"/>
      <c r="H41" s="71"/>
      <c r="I41" s="71"/>
      <c r="J41" s="72"/>
    </row>
    <row r="42" spans="1:10" ht="30" customHeight="1" thickBot="1" x14ac:dyDescent="0.25">
      <c r="A42" s="4"/>
      <c r="B42" s="77" t="s">
        <v>55</v>
      </c>
      <c r="C42" s="78"/>
      <c r="D42" s="78"/>
      <c r="E42" s="62" t="str">
        <f>_xlfn.IFS(E41&gt;=90%,"ممتاز",E41&gt;=80%,"جيد جداً",E41&gt;=70%,"جيد",E41&gt;=60%,"مقبول",E41&lt;60%,"راسب")</f>
        <v>جيد</v>
      </c>
      <c r="F42" s="62"/>
      <c r="G42" s="62"/>
      <c r="H42" s="62"/>
      <c r="I42" s="62"/>
      <c r="J42" s="63"/>
    </row>
    <row r="43" spans="1:10" ht="42" customHeight="1" x14ac:dyDescent="0.2">
      <c r="B43" s="58" t="s">
        <v>174</v>
      </c>
      <c r="C43" s="58"/>
      <c r="D43" s="58"/>
      <c r="E43" s="41" t="s">
        <v>52</v>
      </c>
      <c r="F43" s="41"/>
      <c r="G43" s="60" t="s">
        <v>92</v>
      </c>
      <c r="H43" s="60"/>
      <c r="I43" s="60"/>
      <c r="J43" s="60"/>
    </row>
    <row r="44" spans="1:10" ht="51" customHeight="1" x14ac:dyDescent="0.2">
      <c r="A44" s="5"/>
      <c r="B44" s="59"/>
      <c r="C44" s="59"/>
      <c r="D44" s="59"/>
      <c r="E44" s="42" t="s">
        <v>53</v>
      </c>
      <c r="F44" s="42"/>
      <c r="G44" s="61"/>
      <c r="H44" s="61"/>
      <c r="I44" s="61"/>
      <c r="J44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B35:D35"/>
    <mergeCell ref="B36:D36"/>
    <mergeCell ref="B37:D37"/>
    <mergeCell ref="B38:D38"/>
    <mergeCell ref="B39:D39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B1:J1"/>
    <mergeCell ref="F2:J2"/>
    <mergeCell ref="B5:D6"/>
    <mergeCell ref="C2:D2"/>
    <mergeCell ref="C3:D3"/>
    <mergeCell ref="F3:J3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