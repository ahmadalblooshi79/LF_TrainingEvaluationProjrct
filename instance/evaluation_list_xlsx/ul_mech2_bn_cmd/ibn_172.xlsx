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0BF5F0A-074A-B242-869A-62ACBF57ECB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<sst xmlns="http://schemas.openxmlformats.org/spreadsheetml/2006/main" count="255" uniqueCount="198">
  <si>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</si>
  <si>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</si>
  <si>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</si>
  <si>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</si>
  <si>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</si>
  <si>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</si>
  <si>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</si>
  <si>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</si>
  <si>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</si>
  <si>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</si>
  <si>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</si>
  <si>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</si>
  <si>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</si>
  <si>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</si>
  <si>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</si>
  <si>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</si>
  <si>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</si>
  <si>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</si>
  <si>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</si>
  <si>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</si>
  <si>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</si>
  <si>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</si>
  <si>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</si>
  <si>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</si>
  <si>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</si>
  <si>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</si>
  <si>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</si>
  <si>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</si>
  <si>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</si>
  <si>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</si>
  <si>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</si>
  <si>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</si>
  <si>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</si>
  <si>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</si>
  <si>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</si>
  <si>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</si>
  <si>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</si>
  <si>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</si>
  <si>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</si>
  <si>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</si>
  <si>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</si>
  <si>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</si>
  <si>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</si>
  <si>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</si>
  <si>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</si>
  <si>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</si>
  <si>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</si>
  <si>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</si>
  <si>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</si>
  <si>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</si>
  <si>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</si>
  <si>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</si>
  <si>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</si>
  <si>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</si>
  <si>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</si>
  <si>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</si>
  <si>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</si>
  <si>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</si>
  <si>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</si>
  <si>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</si>
  <si>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</si>
  <si>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</si>
  <si>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</si>
  <si>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</si>
  <si>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</si>
  <si>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</si>
  <si>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</si>
  <si>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</si>
  <si>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</si>
  <si>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</si>
  <si>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</si>
  <si>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</si>
  <si>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</si>
  <si>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</si>
  <si>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</si>
  <si>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</si>
  <si>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</si>
  <si>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</si>
  <si>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</si>
  <si>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</si>
  <si>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</si>
  <si>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</si>
  <si>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</si>
  <si>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</si>
  <si>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</si>
  <si>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</si>
  <si>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</si>
  <si>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</si>
  <si>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</si>
  <si>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</si>
  <si>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</si>
  <si>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</si>
  <si>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</si>
  <si>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</si>
  <si>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</si>
  <si>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</si>
  <si>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</si>
  <si>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</si>
  <si>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</si>
  <si>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</si>
  <si>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</si>
  <si>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</si>
  <si>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</si>
  <si>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</si>
  <si>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</si>
  <si>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</si>
  <si>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</si>
  <si>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</si>
  <si>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</si>
  <si>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</si>
  <si>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</si>
  <si>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</si>
  <si>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</si>
  <si>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</si>
  <si>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</si>
  <si>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</si>
  <si>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</si>
  <si>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</si>
  <si>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</si>
  <si>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</si>
  <si>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</si>
  <si>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</si>
  <si>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</si>
  <si>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</si>
  <si>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</si>
  <si>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</si>
  <si>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</si>
  <si>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</si>
  <si>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</si>
  <si>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</si>
  <si>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</si>
  <si>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</si>
  <si>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</si>
  <si>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</si>
  <si>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</si>
  <si>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</si>
  <si>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</si>
  <si>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</si>
  <si>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</si>
  <si>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</si>
  <si>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</si>
  <si>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</si>
  <si>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</si>
  <si>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</si>
  <si>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</si>
  <si>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</si>
  <si>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</si>
  <si>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</si>
  <si>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</si>
  <si>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</si>
  <si>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</si>
  <si>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</si>
  <si>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</si>
  <si>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</si>
  <si>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</si>
  <si>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</si>
  <si>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</si>
  <si>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</si>
  <si>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</si>
  <si>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</si>
  <si>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</si>
  <si>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</si>
  <si>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</si>
  <si>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</si>
  <si>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</si>
  <si>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</si>
  <si>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</si>
  <si>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</si>
  <si>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</si>
  <si>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</si>
  <si>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</si>
  <si>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</si>
  <si>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</si>
  <si>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</si>
  <si>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</si>
  <si>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</si>
  <si>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(بالتنسيق مع ضابط العمليات) بتحليل المتطلبات وإعداد وتطوير قائمة متطلبات المعلومات ذات الأولوية من خلال الإجراءات التالية:</t>
    </r>
  </si>
  <si>
    <t>أ. استلام متطلبات المعلومات الهامة للقائد.</t>
  </si>
  <si>
    <t>ب. مراجعة متطلبات المعلومات وتقييم متطلبات المعلومات ذات الأولوية.</t>
  </si>
  <si>
    <t>جـ. تحليل متطلبات الجمع لتحديد مصادر الجمع الأكثر فعالية في الاستخدام.</t>
  </si>
  <si>
    <t>د. تطوير متطلبات المعلومات المعينة التي تجيب على كل متطلب من متطلبات المعلومات.</t>
  </si>
  <si>
    <t>هـ. تحويل متطلبات المعلومات المعينة إلى واجبات استخباراتية ومراقبة واستطلاع.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</si>
  <si>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بإعداد وتطوير خطة الجمع التي تجيب بفعالية على أولوية متطلبات المعلومات للقائد.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</si>
  <si>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يتأكد ضابط الاستخبارات من توزيع المعلومات الاستخباراتية عن طريق:</t>
    </r>
  </si>
  <si>
    <t>أ. التوزيع المباشر للمعنيين.</t>
  </si>
  <si>
    <t>ب. تحديد المعلومات التي يمكن أن تفقد قيمتها بسرعة (المتغيرة) والتي يجب استطلاعها مرة أخرى.</t>
  </si>
  <si>
    <t>جـ. تحديد كمية المعلومات التي يجب توزيعها.</t>
  </si>
  <si>
    <t>د. توزيع منتجات الاستخبارات.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</si>
  <si>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بتقييم عملية تمرير المعلومات للتأكد من أن كافة واجبات الاستخبارات والمراقبة والاستطلاع مقنعة تماماً وأن تبقى خطة إدارة الجمع متزامنة بشكل كامل:</t>
    </r>
  </si>
  <si>
    <t>أ. مقارنة تأكيد الاستخبارات والمراقبة والاستطلاع مع متطلبات الاستخبارات ذات الأولوية ومتطلبات المعلومات المحددة.</t>
  </si>
  <si>
    <t>جـ. تدقيق التقارير للتأكد من اكتمال واستمرارية واجب الاستخبارات والمراقبة والاستطلاع.</t>
  </si>
  <si>
    <t>د. توفير التغذية الراجعة لمصادر جمع الاستخبارات والمراقبة والاستطلاع والمستخدمين عن نجاح جهد الجمع وعن تقدم واجبات الاستخبارات والمراقبة والاستطلاع.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</si>
  <si>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بتحديث خطة جمع المعلومات وتأكيد التزامن من خلال:</t>
    </r>
  </si>
  <si>
    <t>أ. حذف المتطلبات التي تمت تلبيتها.</t>
  </si>
  <si>
    <t>ب. إعادة توجيه مصادر الجمع لمتطلبات المعلومات غير الكاملة.</t>
  </si>
  <si>
    <t xml:space="preserve">جـ. توجيه مصادر الجمع للمتطلبات الجديدة التي تطورت أثناء العمليات وحسب تغير متطلبات الاستخبارات ذات الأولوية. </t>
  </si>
  <si>
    <t>د. إدامة الإلمام بالموقف.</t>
  </si>
  <si>
    <r>
      <rPr>
        <b/>
        <sz val="14"/>
        <color rgb="FF000000"/>
        <rFont val="Arial"/>
        <family val="2"/>
      </rPr>
      <t>تقييم الكتيبة/ مجموعة القتال في إعداد وتطوير خطة الاستخبارات والمراقبة والاستطلاع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</si>
</sst>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6" fillId="0" borderId="23" xfId="0" applyFont="1" applyBorder="1" applyAlignment="1">
      <alignment horizontal="right" vertical="center" wrapText="1" indent="2" readingOrder="2"/>
    </xf>
    <xf numFmtId="0" fontId="16" fillId="0" borderId="3" xfId="0" applyFont="1" applyBorder="1" applyAlignment="1">
      <alignment horizontal="right" vertical="center" wrapText="1" indent="2" readingOrder="2"/>
    </xf>
    <xf numFmtId="0" fontId="16" fillId="0" borderId="11" xfId="0" applyFont="1" applyBorder="1" applyAlignment="1">
      <alignment horizontal="right" vertical="center" wrapText="1" indent="2" readingOrder="2"/>
    </xf>
    <xf numFmtId="0" fontId="16" fillId="0" borderId="12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34270</xdr:colOff>
      <xdr:row>33</xdr:row>
      <xdr:rowOff>28418</xdr:rowOff>
    </xdr:from>
    <xdr:to>
      <xdr:col>9</xdr:col>
      <xdr:colOff>67503</xdr:colOff>
      <xdr:row>34</xdr:row>
      <xdr:rowOff>128718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EB44C85-75C0-E2BE-B356-76E019F8D954}"/>
                </a:ext>
              </a:extLst>
            </xdr14:cNvPr>
            <xdr14:cNvContentPartPr/>
          </xdr14:nvContentPartPr>
          <xdr14:nvPr macro=""/>
          <xdr14:xfrm>
            <a:off x="10422980873" y="16070760"/>
            <a:ext cx="1342080" cy="7502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EB44C85-75C0-E2BE-B356-76E019F8D9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2972233" y="16061760"/>
              <a:ext cx="1359720" cy="767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4:39:34.7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3444 647 14147,'0'0'0,"0"0"0,-15-20 1968,2-2-1336,-2-3-16,3 7-56,7 4-176,-6 3-144,11 11-240,-2-10 120,-2 7-39,0-7-41,1 8-40,0-2-16,3 4 16,-1-2-32,0 1 8,0 1-25,1 0-39,0 0-32,0 0-32,0 0 8,0 0 144,0 0-192,0-2-32,0 2-8,0 0-72,0 0-48,0 0 352,0 0-376,0 0-104,2 0-80,1 0-32,-1 0-8,0 3 55,-2-3 545,10 0-464,-6 3 56,10 0 16,-3-1 24,2-2-16,0 0 40,-13 0 344,15 0-304,-1 0 48,0 0 64,1 0 56,0 0 16,0-1 32,-15 1 88,15-1-88,2 0 24,-1-2 24,-1 2-24,1 1 48,-1 0-24,-15 0 40,14 0-32,0 0 8,-2 0-24,0 2 8,0 2-32,-1 6 32,-11-10 40,9 2-24,-5 8-40,9-7-8,-9 8-24,-1-2-25,7 1 57,-10-10 64,0 11-48,0 0 56,0 1 16,-4 2 0,-8 2-8,0 2-48,12-18 32,-15 18 0,-3 1-80,-3 1 16,-1-1 16,-4 2-32,-1-2 120,27-19-40,-30 19 0,-1 1 32,-2 0 32,-3-1-64,1-1 32,-3 0 0,38-18-32,-37 16 120,0 0-48,0 0 9,-3-2-1,3-2-88,-1-1 96,38-11-88,-39 9 0,0-5 24,-2 0-16,0-1-48,2 0 88,1-3-56,38 0 8,-41 0-32,2-4 32,0-7-8,-1 0 16,4-1 112,-3-3-40,39 15-80,-37-18 48,-1-1 72,0-3-40,4 0 80,1 0 24,-3-3 8,36 25-192,-35-24 248,2-2-8,-1 0 64,7 0 0,-1-2 112,2 2-152,26 26-264,-24-25 288,2-1 0,3 2-216,5 2 152,0 0-208,5 3 8,9 19-24,-4-18 40,-1 1-144,4 2 72,0-1-136,1 2-72,4-1-104,-4 15 344,13-14-424,0 0-56,4-3-88,3-1 48,4 0-112,4-3 87,-28 21 545,32-19-440,4 0 24,4-1 216,2-1 0,2 0 0,0 0 72,-44 21 128,48-20-152,0 0 24,2-1 32,1 3 72,-2 1-8,-1 2 24,-48 15 8,48-14 8,-1 0-48,-2 2 32,1 2 48,-4 5 16,-2-7 8,-40 12-64,40-3 56,-3 0 56,-4-2 0,1 1-64,-5 3 16,-4 0-88,-25 1 24,23 0-24,-4 2 64,-3 1-40,-2 6 56,-3-6-40,-8 8-8,-3-11-8,10 3 88,-10 10 96,0-3 48,-1 2 120,-9 1 112,-3 3-39,13-16-425,-16 18 520,-4 2-96,-4 3-64,-5 0-136,-3 2-96,-5 1 0,37-26-128,-41 26 8,-2 3-40,-3 2 32,-2 2-32,-2-2 16,-3 0 40,53-31-24,-51 30-24,-3 0 24,-1-1-24,-2 1-8,0-2-48,0 2-24,57-30 104,-56 30-184,2-2-120,0 0-112,3-3-152,3-3-129,1 0-127,47-22 824,-43 18-920,2-2 24,4-3-8,4-2 63,5-8 105,3 1 96,25-4 640,-19 3-440,3-3 184,3 0 136,8-2 88,-6-2 24,10-5 0,1 9 8,-1-4 16,0-9 8,1 8-16,3-8 16,8 3 24,-7 6 96,-4 4-144,13-14 304,-4 4 176,-5-1 160,10 1 145,-10 6 47,8-8 8,-12 12-840,2-4 800,1 0-72,-1 1-88,-2 0-72,0 2-79,0 0-81,0 1-408,0 0 376,-1 0-48,0 0-16,-3 0-40,-5 0-40,-1 2-64,10-2-168,-11 3 88,-2-1-40,-4 2-64,-2 5-32,-1-5-8,-2 7-16,22-11 72,-25 3-88,-1 12-40,-2-12-48,0 10-64,2-9-72,0 8-56,26-12 368,-24 4-384,-1 8 32,1-10-25,1 9 33,0-9 72,2 2 56,21-4 216,-21 12-136,1-12 64,2 3 24,1 1 24,0-2 16,3 2 32,14-4-24,-12 2 32,0 1 48,1-1 32,1 1 40,6-1 80,-10-2 80,14 0-312,-4 0 385,-8 2 23,8-2 8,-8 3-56,7-3-48,-8 0-32,13 0-280,-11 2 216,1-2-16,-1 0-32,0 3-40,-1-3-8,0 2-56,12-2-64,-12 4 72,0-2-32,0-2 0,0 0-24,0 0-32,0 0 16,12 0 0,-12 0 8,1 0-40,-1 0-32,0 0-64,-1-1-136,-1 0-88,14 1 352,-17-2-408,0 0-64,2 0 24,-3-1 80,0 1 80,-3-1 95,21 3 193,-21-2-104,2 0 40,-1 0 24,4 0 48,-1 1-8,-2-2 24,19 3-24,-16-1 32,1 0 16,0 0 24,3 0 32,1-1 65,2 1-17,9 1-152,-4-1 328,1 0 8,-1 0 16,3-1 64,-2 1-144,2-1-24,1 2-248,0-1 112,0-1-72,0 1 8,0 0-8,0 1 40,0 0-32,0 0-48,-1 0 32,-1 0-80,-3 0-64,-6 0-24,0 0 8,-4 0 32,15 0 96,-16 0-112,-4 2 40,-3 1-32,-1 0-16,-6 1 56,-2 7-32,32-11 96,-34 2-80,-2 8-16,-1-7-24,0 8-80,-5-7-72,4 6-48,38-10 320,-40 4-392,-2 7-1,1-8 9,1 9 8,1-9 16,5 6 32,34-9 328,-32 3-256,1 0 32,4 1 48,0 0 80,2-2 8,3 0 72,22-2 16,-20 3-24,3-1-8,4 1 24,-1-1-24,4 0-8,7-2 24,3 0 16,-10 3-8,9-1-48,0 1-32,1-1 24,0 2-8,0-1 32,0-3 40,2 10-8,2-7 16,-1 9-64,7-1 96,-8 2 0,9 3 16,-11-16-56,3 19 168,12 3 16,-12 5 104,12 4 80,-12 4 40,8 3-16,-11-38-392,4 40 352,-1 2-80,1 5-112,6 1-32,-10 4-64,9 1-24,-9-53-40,4 54 72,8 1-48,-1-1 32,2-1-16,1-2-23,4-2-34,-18-49 17,19 50-88,7-2-264,0-3-592,4-2-896,6-3 15,1-2 449,-37-38 1376,43 35-2672,-43-35 2672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C24" zoomScale="130" zoomScaleNormal="100" zoomScaleSheetLayoutView="130" workbookViewId="0">
      <selection activeCell="G34" sqref="G34:J3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1" t="s">
        <v>197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2">
      <c r="B2" s="13" t="s">
        <v>8</v>
      </c>
      <c r="C2" s="77" t="s">
        <v>40</v>
      </c>
      <c r="D2" s="77"/>
      <c r="E2" s="13" t="s">
        <v>7</v>
      </c>
      <c r="F2" s="72">
        <v>45954</v>
      </c>
      <c r="G2" s="72"/>
      <c r="H2" s="72"/>
      <c r="I2" s="72"/>
      <c r="J2" s="72"/>
    </row>
    <row r="3" spans="1:10" ht="30" customHeight="1" x14ac:dyDescent="0.2">
      <c r="B3" s="13" t="s">
        <v>9</v>
      </c>
      <c r="C3" s="77" t="s">
        <v>81</v>
      </c>
      <c r="D3" s="77"/>
      <c r="E3" s="13" t="s">
        <v>6</v>
      </c>
      <c r="F3" s="77" t="s">
        <v>92</v>
      </c>
      <c r="G3" s="77"/>
      <c r="H3" s="77"/>
      <c r="I3" s="77"/>
      <c r="J3" s="77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73" t="s">
        <v>0</v>
      </c>
      <c r="C5" s="74"/>
      <c r="D5" s="74"/>
      <c r="E5" s="82" t="s">
        <v>1</v>
      </c>
      <c r="F5" s="82"/>
      <c r="G5" s="82"/>
      <c r="H5" s="82"/>
      <c r="I5" s="82" t="s">
        <v>2</v>
      </c>
      <c r="J5" s="83"/>
    </row>
    <row r="6" spans="1:10" ht="24.95" customHeight="1" thickBot="1" x14ac:dyDescent="0.25">
      <c r="A6" s="11"/>
      <c r="B6" s="75"/>
      <c r="C6" s="76"/>
      <c r="D6" s="76"/>
      <c r="E6" s="12" t="s">
        <v>3</v>
      </c>
      <c r="F6" s="12" t="s">
        <v>4</v>
      </c>
      <c r="G6" s="12" t="s">
        <v>23</v>
      </c>
      <c r="H6" s="12" t="s">
        <v>24</v>
      </c>
      <c r="I6" s="84"/>
      <c r="J6" s="85"/>
    </row>
    <row r="7" spans="1:10" ht="24.95" customHeight="1" thickBot="1" x14ac:dyDescent="0.25">
      <c r="A7" s="11"/>
      <c r="B7" s="80" t="s">
        <v>21</v>
      </c>
      <c r="C7" s="81"/>
      <c r="D7" s="81"/>
      <c r="E7" s="30" t="s">
        <v>18</v>
      </c>
      <c r="F7" s="30" t="s">
        <v>19</v>
      </c>
      <c r="G7" s="30" t="s">
        <v>22</v>
      </c>
      <c r="H7" s="30" t="s">
        <v>20</v>
      </c>
      <c r="I7" s="86" t="s">
        <v>25</v>
      </c>
      <c r="J7" s="87"/>
    </row>
    <row r="8" spans="1:10" ht="54.95" customHeight="1" x14ac:dyDescent="0.2">
      <c r="A8" s="11"/>
      <c r="B8" s="49" t="s">
        <v>176</v>
      </c>
      <c r="C8" s="50"/>
      <c r="D8" s="50"/>
      <c r="E8" s="34"/>
      <c r="F8" s="35"/>
      <c r="G8" s="36"/>
      <c r="H8" s="37"/>
      <c r="I8" s="53"/>
      <c r="J8" s="54"/>
    </row>
    <row r="9" spans="1:10" ht="39.950000000000003" customHeight="1" x14ac:dyDescent="0.2">
      <c r="A9" s="11"/>
      <c r="B9" s="45" t="s">
        <v>177</v>
      </c>
      <c r="C9" s="46"/>
      <c r="D9" s="46"/>
      <c r="E9" s="9">
        <v>5</v>
      </c>
      <c r="F9" s="27">
        <v>3.5</v>
      </c>
      <c r="G9" s="32">
        <f>IFERROR(F9/E9,"")</f>
        <v>0.7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9"/>
      <c r="J9" s="60"/>
    </row>
    <row r="10" spans="1:10" ht="39.950000000000003" customHeight="1" x14ac:dyDescent="0.2">
      <c r="A10" s="11"/>
      <c r="B10" s="45" t="s">
        <v>178</v>
      </c>
      <c r="C10" s="46"/>
      <c r="D10" s="46"/>
      <c r="E10" s="9">
        <v>5</v>
      </c>
      <c r="F10" s="27">
        <v>3.5</v>
      </c>
      <c r="G10" s="32">
        <f t="shared" ref="G10:G29" si="0">IFERROR(F10/E10,"")</f>
        <v>0.7</v>
      </c>
      <c r="H10" s="33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59"/>
      <c r="J10" s="60"/>
    </row>
    <row r="11" spans="1:10" ht="39.950000000000003" customHeight="1" x14ac:dyDescent="0.2">
      <c r="A11" s="11"/>
      <c r="B11" s="45" t="s">
        <v>179</v>
      </c>
      <c r="C11" s="46"/>
      <c r="D11" s="46"/>
      <c r="E11" s="9">
        <v>5</v>
      </c>
      <c r="F11" s="27">
        <v>3.5</v>
      </c>
      <c r="G11" s="32">
        <f t="shared" si="0"/>
        <v>0.7</v>
      </c>
      <c r="H11" s="33" t="str">
        <f t="shared" si="1"/>
        <v>جيد</v>
      </c>
      <c r="I11" s="59"/>
      <c r="J11" s="60"/>
    </row>
    <row r="12" spans="1:10" ht="39.950000000000003" customHeight="1" x14ac:dyDescent="0.2">
      <c r="A12" s="11"/>
      <c r="B12" s="45" t="s">
        <v>180</v>
      </c>
      <c r="C12" s="46"/>
      <c r="D12" s="46"/>
      <c r="E12" s="9">
        <v>5</v>
      </c>
      <c r="F12" s="27">
        <v>3.5</v>
      </c>
      <c r="G12" s="32">
        <f t="shared" si="0"/>
        <v>0.7</v>
      </c>
      <c r="H12" s="33" t="str">
        <f t="shared" si="1"/>
        <v>جيد</v>
      </c>
      <c r="I12" s="59"/>
      <c r="J12" s="60"/>
    </row>
    <row r="13" spans="1:10" ht="39.950000000000003" customHeight="1" thickBot="1" x14ac:dyDescent="0.25">
      <c r="A13" s="11"/>
      <c r="B13" s="47" t="s">
        <v>181</v>
      </c>
      <c r="C13" s="48"/>
      <c r="D13" s="48"/>
      <c r="E13" s="38">
        <v>5</v>
      </c>
      <c r="F13" s="29">
        <v>3.5</v>
      </c>
      <c r="G13" s="39">
        <f t="shared" si="0"/>
        <v>0.7</v>
      </c>
      <c r="H13" s="40" t="str">
        <f t="shared" si="1"/>
        <v>جيد</v>
      </c>
      <c r="I13" s="61"/>
      <c r="J13" s="62"/>
    </row>
    <row r="14" spans="1:10" ht="39.950000000000003" customHeight="1" thickBot="1" x14ac:dyDescent="0.25">
      <c r="A14" s="11"/>
      <c r="B14" s="51" t="s">
        <v>182</v>
      </c>
      <c r="C14" s="52"/>
      <c r="D14" s="52"/>
      <c r="E14" s="10">
        <v>5</v>
      </c>
      <c r="F14" s="42">
        <v>3.5</v>
      </c>
      <c r="G14" s="43">
        <f t="shared" si="0"/>
        <v>0.7</v>
      </c>
      <c r="H14" s="28" t="str">
        <f t="shared" si="1"/>
        <v>جيد</v>
      </c>
      <c r="I14" s="63"/>
      <c r="J14" s="64"/>
    </row>
    <row r="15" spans="1:10" ht="39.950000000000003" customHeight="1" x14ac:dyDescent="0.2">
      <c r="A15" s="11"/>
      <c r="B15" s="49" t="s">
        <v>183</v>
      </c>
      <c r="C15" s="50"/>
      <c r="D15" s="50"/>
      <c r="E15" s="41"/>
      <c r="F15" s="35"/>
      <c r="G15" s="36"/>
      <c r="H15" s="37"/>
      <c r="I15" s="53"/>
      <c r="J15" s="54"/>
    </row>
    <row r="16" spans="1:10" ht="39.950000000000003" customHeight="1" x14ac:dyDescent="0.2">
      <c r="A16" s="11"/>
      <c r="B16" s="45" t="s">
        <v>184</v>
      </c>
      <c r="C16" s="46"/>
      <c r="D16" s="46"/>
      <c r="E16" s="9">
        <v>5</v>
      </c>
      <c r="F16" s="27">
        <v>3.75</v>
      </c>
      <c r="G16" s="32">
        <f t="shared" si="0"/>
        <v>0.75</v>
      </c>
      <c r="H16" s="33" t="str">
        <f t="shared" si="1"/>
        <v>جيد</v>
      </c>
      <c r="I16" s="59"/>
      <c r="J16" s="60"/>
    </row>
    <row r="17" spans="1:10" ht="39.950000000000003" customHeight="1" x14ac:dyDescent="0.2">
      <c r="A17" s="11"/>
      <c r="B17" s="45" t="s">
        <v>185</v>
      </c>
      <c r="C17" s="46"/>
      <c r="D17" s="46"/>
      <c r="E17" s="9">
        <v>5</v>
      </c>
      <c r="F17" s="27">
        <v>3.75</v>
      </c>
      <c r="G17" s="32">
        <f t="shared" si="0"/>
        <v>0.75</v>
      </c>
      <c r="H17" s="33" t="str">
        <f t="shared" si="1"/>
        <v>جيد</v>
      </c>
      <c r="I17" s="59"/>
      <c r="J17" s="60"/>
    </row>
    <row r="18" spans="1:10" ht="39.950000000000003" customHeight="1" x14ac:dyDescent="0.2">
      <c r="A18" s="11"/>
      <c r="B18" s="45" t="s">
        <v>186</v>
      </c>
      <c r="C18" s="46"/>
      <c r="D18" s="46"/>
      <c r="E18" s="9">
        <v>5</v>
      </c>
      <c r="F18" s="27">
        <v>3.75</v>
      </c>
      <c r="G18" s="32">
        <f t="shared" si="0"/>
        <v>0.75</v>
      </c>
      <c r="H18" s="33" t="str">
        <f t="shared" si="1"/>
        <v>جيد</v>
      </c>
      <c r="I18" s="59"/>
      <c r="J18" s="60"/>
    </row>
    <row r="19" spans="1:10" ht="39.950000000000003" customHeight="1" thickBot="1" x14ac:dyDescent="0.25">
      <c r="A19" s="11"/>
      <c r="B19" s="47" t="s">
        <v>187</v>
      </c>
      <c r="C19" s="48"/>
      <c r="D19" s="48"/>
      <c r="E19" s="38">
        <v>5</v>
      </c>
      <c r="F19" s="29">
        <v>3.75</v>
      </c>
      <c r="G19" s="39">
        <f t="shared" si="0"/>
        <v>0.75</v>
      </c>
      <c r="H19" s="40" t="str">
        <f t="shared" si="1"/>
        <v>جيد</v>
      </c>
      <c r="I19" s="61"/>
      <c r="J19" s="62"/>
    </row>
    <row r="20" spans="1:10" ht="54.95" customHeight="1" x14ac:dyDescent="0.2">
      <c r="A20" s="11"/>
      <c r="B20" s="49" t="s">
        <v>188</v>
      </c>
      <c r="C20" s="50"/>
      <c r="D20" s="50"/>
      <c r="E20" s="41"/>
      <c r="F20" s="35"/>
      <c r="G20" s="36"/>
      <c r="H20" s="37"/>
      <c r="I20" s="53"/>
      <c r="J20" s="54"/>
    </row>
    <row r="21" spans="1:10" ht="39.950000000000003" customHeight="1" x14ac:dyDescent="0.2">
      <c r="A21" s="11"/>
      <c r="B21" s="45" t="s">
        <v>189</v>
      </c>
      <c r="C21" s="46"/>
      <c r="D21" s="46"/>
      <c r="E21" s="9">
        <v>5</v>
      </c>
      <c r="F21" s="44">
        <v>3.75</v>
      </c>
      <c r="G21" s="32">
        <f t="shared" si="0"/>
        <v>0.75</v>
      </c>
      <c r="H21" s="33" t="str">
        <f t="shared" si="1"/>
        <v>جيد</v>
      </c>
      <c r="I21" s="59"/>
      <c r="J21" s="60"/>
    </row>
    <row r="22" spans="1:10" ht="39.950000000000003" customHeight="1" x14ac:dyDescent="0.2">
      <c r="A22" s="11"/>
      <c r="B22" s="45" t="s">
        <v>185</v>
      </c>
      <c r="C22" s="46"/>
      <c r="D22" s="46"/>
      <c r="E22" s="9">
        <v>5</v>
      </c>
      <c r="F22" s="27">
        <v>3.75</v>
      </c>
      <c r="G22" s="32">
        <f t="shared" si="0"/>
        <v>0.75</v>
      </c>
      <c r="H22" s="33" t="str">
        <f t="shared" si="1"/>
        <v>جيد</v>
      </c>
      <c r="I22" s="59"/>
      <c r="J22" s="60"/>
    </row>
    <row r="23" spans="1:10" ht="39.950000000000003" customHeight="1" x14ac:dyDescent="0.2">
      <c r="A23" s="11"/>
      <c r="B23" s="45" t="s">
        <v>190</v>
      </c>
      <c r="C23" s="46"/>
      <c r="D23" s="46"/>
      <c r="E23" s="9">
        <v>5</v>
      </c>
      <c r="F23" s="27">
        <v>3.75</v>
      </c>
      <c r="G23" s="32">
        <f t="shared" si="0"/>
        <v>0.75</v>
      </c>
      <c r="H23" s="33" t="str">
        <f t="shared" si="1"/>
        <v>جيد</v>
      </c>
      <c r="I23" s="59"/>
      <c r="J23" s="60"/>
    </row>
    <row r="24" spans="1:10" ht="54.95" customHeight="1" thickBot="1" x14ac:dyDescent="0.25">
      <c r="A24" s="11"/>
      <c r="B24" s="47" t="s">
        <v>191</v>
      </c>
      <c r="C24" s="48"/>
      <c r="D24" s="48"/>
      <c r="E24" s="38">
        <v>5</v>
      </c>
      <c r="F24" s="29">
        <v>3.75</v>
      </c>
      <c r="G24" s="39">
        <f t="shared" si="0"/>
        <v>0.75</v>
      </c>
      <c r="H24" s="40" t="str">
        <f t="shared" si="1"/>
        <v>جيد</v>
      </c>
      <c r="I24" s="61"/>
      <c r="J24" s="62"/>
    </row>
    <row r="25" spans="1:10" ht="39.950000000000003" customHeight="1" x14ac:dyDescent="0.2">
      <c r="A25" s="11"/>
      <c r="B25" s="49" t="s">
        <v>192</v>
      </c>
      <c r="C25" s="50"/>
      <c r="D25" s="50"/>
      <c r="E25" s="41"/>
      <c r="F25" s="35"/>
      <c r="G25" s="36"/>
      <c r="H25" s="37"/>
      <c r="I25" s="53"/>
      <c r="J25" s="54"/>
    </row>
    <row r="26" spans="1:10" ht="39.950000000000003" customHeight="1" x14ac:dyDescent="0.2">
      <c r="A26" s="11"/>
      <c r="B26" s="45" t="s">
        <v>193</v>
      </c>
      <c r="C26" s="46"/>
      <c r="D26" s="46"/>
      <c r="E26" s="9">
        <v>5</v>
      </c>
      <c r="F26" s="27">
        <v>3.75</v>
      </c>
      <c r="G26" s="32">
        <f t="shared" si="0"/>
        <v>0.75</v>
      </c>
      <c r="H26" s="33" t="str">
        <f t="shared" si="1"/>
        <v>جيد</v>
      </c>
      <c r="I26" s="59"/>
      <c r="J26" s="60"/>
    </row>
    <row r="27" spans="1:10" ht="39.950000000000003" customHeight="1" x14ac:dyDescent="0.2">
      <c r="A27" s="11"/>
      <c r="B27" s="45" t="s">
        <v>194</v>
      </c>
      <c r="C27" s="46"/>
      <c r="D27" s="46"/>
      <c r="E27" s="9">
        <v>5</v>
      </c>
      <c r="F27" s="27">
        <v>3.75</v>
      </c>
      <c r="G27" s="32">
        <f t="shared" si="0"/>
        <v>0.75</v>
      </c>
      <c r="H27" s="33" t="str">
        <f t="shared" si="1"/>
        <v>جيد</v>
      </c>
      <c r="I27" s="59"/>
      <c r="J27" s="60"/>
    </row>
    <row r="28" spans="1:10" ht="39.950000000000003" customHeight="1" x14ac:dyDescent="0.2">
      <c r="A28" s="11"/>
      <c r="B28" s="45" t="s">
        <v>195</v>
      </c>
      <c r="C28" s="46"/>
      <c r="D28" s="46"/>
      <c r="E28" s="9">
        <v>5</v>
      </c>
      <c r="F28" s="27">
        <v>3.75</v>
      </c>
      <c r="G28" s="32">
        <f t="shared" si="0"/>
        <v>0.75</v>
      </c>
      <c r="H28" s="33" t="str">
        <f t="shared" si="1"/>
        <v>جيد</v>
      </c>
      <c r="I28" s="59"/>
      <c r="J28" s="60"/>
    </row>
    <row r="29" spans="1:10" ht="39.950000000000003" customHeight="1" thickBot="1" x14ac:dyDescent="0.25">
      <c r="A29" s="11"/>
      <c r="B29" s="47" t="s">
        <v>196</v>
      </c>
      <c r="C29" s="48"/>
      <c r="D29" s="48"/>
      <c r="E29" s="38">
        <v>5</v>
      </c>
      <c r="F29" s="29">
        <v>3.75</v>
      </c>
      <c r="G29" s="39">
        <f t="shared" si="0"/>
        <v>0.75</v>
      </c>
      <c r="H29" s="40" t="str">
        <f t="shared" si="1"/>
        <v>جيد</v>
      </c>
      <c r="I29" s="61"/>
      <c r="J29" s="62"/>
    </row>
    <row r="30" spans="1:10" ht="30" customHeight="1" thickBot="1" x14ac:dyDescent="0.25">
      <c r="A30" s="4"/>
      <c r="B30" s="55" t="s">
        <v>5</v>
      </c>
      <c r="C30" s="56"/>
      <c r="D30" s="56"/>
      <c r="E30" s="31">
        <f>SUM(E8:E29)</f>
        <v>90</v>
      </c>
      <c r="F30" s="31">
        <f>SUM(F8:F29)</f>
        <v>66</v>
      </c>
      <c r="G30" s="90"/>
      <c r="H30" s="91"/>
      <c r="I30" s="91"/>
      <c r="J30" s="92"/>
    </row>
    <row r="31" spans="1:10" ht="30" customHeight="1" thickBot="1" x14ac:dyDescent="0.25">
      <c r="A31" s="4"/>
      <c r="B31" s="57" t="s">
        <v>54</v>
      </c>
      <c r="C31" s="58"/>
      <c r="D31" s="58"/>
      <c r="E31" s="78">
        <f>F30/E30/100*100</f>
        <v>0.73333333333333328</v>
      </c>
      <c r="F31" s="78"/>
      <c r="G31" s="78"/>
      <c r="H31" s="78"/>
      <c r="I31" s="78"/>
      <c r="J31" s="79"/>
    </row>
    <row r="32" spans="1:10" ht="30" customHeight="1" thickBot="1" x14ac:dyDescent="0.25">
      <c r="A32" s="4"/>
      <c r="B32" s="57" t="s">
        <v>55</v>
      </c>
      <c r="C32" s="58"/>
      <c r="D32" s="58"/>
      <c r="E32" s="69" t="str">
        <f>_xlfn.IFS(E31&gt;=90%,"ممتاز",E31&gt;=80%,"جيد جداً",E31&gt;=70%,"جيد",E31&gt;=60%,"مقبول",E31&lt;60%,"راسب")</f>
        <v>جيد</v>
      </c>
      <c r="F32" s="69"/>
      <c r="G32" s="69"/>
      <c r="H32" s="69"/>
      <c r="I32" s="69"/>
      <c r="J32" s="70"/>
    </row>
    <row r="33" spans="1:10" ht="42" customHeight="1" x14ac:dyDescent="0.2">
      <c r="B33" s="65" t="s">
        <v>175</v>
      </c>
      <c r="C33" s="65"/>
      <c r="D33" s="65"/>
      <c r="E33" s="88" t="s">
        <v>52</v>
      </c>
      <c r="F33" s="88"/>
      <c r="G33" s="67" t="s">
        <v>92</v>
      </c>
      <c r="H33" s="67"/>
      <c r="I33" s="67"/>
      <c r="J33" s="67"/>
    </row>
    <row r="34" spans="1:10" ht="51" customHeight="1" x14ac:dyDescent="0.2">
      <c r="A34" s="5"/>
      <c r="B34" s="66"/>
      <c r="C34" s="66"/>
      <c r="D34" s="66"/>
      <c r="E34" s="89" t="s">
        <v>53</v>
      </c>
      <c r="F34" s="89"/>
      <c r="G34" s="68"/>
      <c r="H34" s="68"/>
      <c r="I34" s="68"/>
      <c r="J34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I27:J27"/>
    <mergeCell ref="E33:F33"/>
    <mergeCell ref="E34:F34"/>
    <mergeCell ref="G30:J30"/>
    <mergeCell ref="I9:J9"/>
    <mergeCell ref="I22:J22"/>
    <mergeCell ref="I23:J23"/>
    <mergeCell ref="I24:J24"/>
    <mergeCell ref="I25:J25"/>
    <mergeCell ref="I26:J26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E5:H5"/>
    <mergeCell ref="I5:J6"/>
    <mergeCell ref="I7:J7"/>
    <mergeCell ref="I10:J10"/>
    <mergeCell ref="B30:D30"/>
    <mergeCell ref="B31:D31"/>
    <mergeCell ref="B32:D3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I20:J20"/>
    <mergeCell ref="I21:J21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14" priority="57">
      <formula>$E32="راسب"</formula>
    </cfRule>
  </conditionalFormatting>
  <conditionalFormatting sqref="E32:J32">
    <cfRule type="expression" dxfId="13" priority="58">
      <formula>$E32="مقبول"</formula>
    </cfRule>
    <cfRule type="expression" dxfId="12" priority="59">
      <formula>$E32="جيد"</formula>
    </cfRule>
    <cfRule type="expression" dxfId="11" priority="60">
      <formula>$E32="جيد جداً"</formula>
    </cfRule>
    <cfRule type="expression" dxfId="10" priority="61">
      <formula>$E32="ممتاز"</formula>
    </cfRule>
  </conditionalFormatting>
  <conditionalFormatting sqref="F8:F2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6" priority="15" operator="containsText" text="أدخل اسم المحكم">
      <formula>NOT(ISERROR(SEARCH("أدخل اسم المحكم",G33)))</formula>
    </cfRule>
  </conditionalFormatting>
  <conditionalFormatting sqref="H8:H2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F26:F29 F21:F24 F16:F19 F9:F14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102</v>
      </c>
    </row>
    <row r="213" spans="1:1" ht="20.100000000000001" customHeight="1" x14ac:dyDescent="0.2">
      <c r="A213" s="21" t="s">
        <v>103</v>
      </c>
    </row>
    <row r="214" spans="1:1" ht="20.100000000000001" customHeight="1" x14ac:dyDescent="0.2">
      <c r="A214" s="21" t="s">
        <v>104</v>
      </c>
    </row>
    <row r="215" spans="1:1" ht="20.100000000000001" customHeight="1" x14ac:dyDescent="0.2">
      <c r="A215" s="21" t="s">
        <v>105</v>
      </c>
    </row>
    <row r="216" spans="1:1" ht="20.100000000000001" customHeight="1" x14ac:dyDescent="0.2">
      <c r="A216" s="21" t="s">
        <v>106</v>
      </c>
    </row>
    <row r="217" spans="1:1" ht="20.100000000000001" customHeight="1" x14ac:dyDescent="0.2">
      <c r="A217" s="21" t="s">
        <v>107</v>
      </c>
    </row>
    <row r="218" spans="1:1" ht="20.100000000000001" customHeight="1" x14ac:dyDescent="0.2">
      <c r="A218" s="21" t="s">
        <v>108</v>
      </c>
    </row>
    <row r="219" spans="1:1" ht="20.100000000000001" customHeight="1" x14ac:dyDescent="0.2">
      <c r="A219" s="21" t="s">
        <v>109</v>
      </c>
    </row>
    <row r="220" spans="1:1" ht="20.100000000000001" customHeight="1" x14ac:dyDescent="0.2">
      <c r="A220" s="21" t="s">
        <v>110</v>
      </c>
    </row>
    <row r="221" spans="1:1" ht="20.100000000000001" customHeight="1" x14ac:dyDescent="0.2">
      <c r="A221" s="21" t="s">
        <v>111</v>
      </c>
    </row>
    <row r="222" spans="1:1" ht="20.100000000000001" customHeight="1" x14ac:dyDescent="0.2">
      <c r="A222" s="21" t="s">
        <v>112</v>
      </c>
    </row>
    <row r="223" spans="1:1" ht="20.100000000000001" customHeight="1" x14ac:dyDescent="0.2">
      <c r="A223" s="21" t="s">
        <v>113</v>
      </c>
    </row>
    <row r="224" spans="1:1" ht="20.100000000000001" customHeight="1" x14ac:dyDescent="0.2">
      <c r="A224" s="21" t="s">
        <v>114</v>
      </c>
    </row>
    <row r="225" spans="1:1" ht="20.100000000000001" customHeight="1" x14ac:dyDescent="0.2">
      <c r="A225" s="21" t="s">
        <v>115</v>
      </c>
    </row>
    <row r="226" spans="1:1" ht="20.100000000000001" customHeight="1" x14ac:dyDescent="0.2">
      <c r="A226" s="21" t="s">
        <v>116</v>
      </c>
    </row>
    <row r="227" spans="1:1" ht="20.100000000000001" customHeight="1" x14ac:dyDescent="0.2">
      <c r="A227" s="21" t="s">
        <v>117</v>
      </c>
    </row>
    <row r="228" spans="1:1" ht="20.100000000000001" customHeight="1" x14ac:dyDescent="0.2">
      <c r="A228" s="21" t="s">
        <v>118</v>
      </c>
    </row>
    <row r="229" spans="1:1" ht="20.100000000000001" customHeight="1" x14ac:dyDescent="0.2">
      <c r="A229" s="21" t="s">
        <v>119</v>
      </c>
    </row>
    <row r="230" spans="1:1" ht="20.100000000000001" customHeight="1" x14ac:dyDescent="0.2">
      <c r="A230" s="21" t="s">
        <v>120</v>
      </c>
    </row>
    <row r="231" spans="1:1" ht="20.100000000000001" customHeight="1" x14ac:dyDescent="0.2">
      <c r="A231" s="21" t="s">
        <v>121</v>
      </c>
    </row>
    <row r="232" spans="1:1" ht="20.100000000000001" customHeight="1" x14ac:dyDescent="0.2">
      <c r="A232" s="21" t="s">
        <v>122</v>
      </c>
    </row>
    <row r="233" spans="1:1" ht="20.100000000000001" customHeight="1" x14ac:dyDescent="0.2">
      <c r="A233" s="21" t="s">
        <v>123</v>
      </c>
    </row>
    <row r="234" spans="1:1" ht="20.100000000000001" customHeight="1" x14ac:dyDescent="0.2">
      <c r="A234" s="21" t="s">
        <v>124</v>
      </c>
    </row>
    <row r="235" spans="1:1" ht="20.100000000000001" customHeight="1" x14ac:dyDescent="0.2">
      <c r="A235" s="23" t="s">
        <v>125</v>
      </c>
    </row>
    <row r="236" spans="1:1" ht="20.100000000000001" customHeight="1" x14ac:dyDescent="0.2">
      <c r="A236" s="21" t="s">
        <v>126</v>
      </c>
    </row>
    <row r="237" spans="1:1" ht="20.100000000000001" customHeight="1" x14ac:dyDescent="0.2">
      <c r="A237" s="21" t="s">
        <v>127</v>
      </c>
    </row>
    <row r="238" spans="1:1" ht="20.100000000000001" customHeight="1" x14ac:dyDescent="0.2">
      <c r="A238" s="21" t="s">
        <v>128</v>
      </c>
    </row>
    <row r="239" spans="1:1" ht="20.100000000000001" customHeight="1" x14ac:dyDescent="0.2">
      <c r="A239" s="21" t="s">
        <v>129</v>
      </c>
    </row>
    <row r="240" spans="1:1" ht="20.100000000000001" customHeight="1" x14ac:dyDescent="0.2">
      <c r="A240" s="21" t="s">
        <v>130</v>
      </c>
    </row>
    <row r="241" spans="1:1" ht="20.100000000000001" customHeight="1" x14ac:dyDescent="0.2">
      <c r="A241" s="21" t="s">
        <v>131</v>
      </c>
    </row>
    <row r="242" spans="1:1" ht="20.100000000000001" customHeight="1" x14ac:dyDescent="0.2">
      <c r="A242" s="21" t="s">
        <v>132</v>
      </c>
    </row>
    <row r="243" spans="1:1" ht="20.100000000000001" customHeight="1" x14ac:dyDescent="0.2">
      <c r="A243" s="21" t="s">
        <v>133</v>
      </c>
    </row>
    <row r="244" spans="1:1" ht="20.100000000000001" customHeight="1" x14ac:dyDescent="0.2">
      <c r="A244" s="21" t="s">
        <v>134</v>
      </c>
    </row>
    <row r="245" spans="1:1" ht="20.100000000000001" customHeight="1" x14ac:dyDescent="0.2">
      <c r="A245" s="21" t="s">
        <v>135</v>
      </c>
    </row>
    <row r="246" spans="1:1" ht="20.100000000000001" customHeight="1" x14ac:dyDescent="0.2">
      <c r="A246" s="21" t="s">
        <v>136</v>
      </c>
    </row>
    <row r="247" spans="1:1" ht="20.100000000000001" customHeight="1" x14ac:dyDescent="0.2">
      <c r="A247" s="21" t="s">
        <v>127</v>
      </c>
    </row>
    <row r="248" spans="1:1" ht="20.100000000000001" customHeight="1" x14ac:dyDescent="0.2">
      <c r="A248" s="21" t="s">
        <v>137</v>
      </c>
    </row>
    <row r="249" spans="1:1" ht="20.100000000000001" customHeight="1" x14ac:dyDescent="0.2">
      <c r="A249" s="21" t="s">
        <v>138</v>
      </c>
    </row>
    <row r="250" spans="1:1" ht="20.100000000000001" customHeight="1" x14ac:dyDescent="0.2">
      <c r="A250" s="23" t="s">
        <v>139</v>
      </c>
    </row>
    <row r="251" spans="1:1" ht="20.100000000000001" customHeight="1" x14ac:dyDescent="0.2">
      <c r="A251" s="24" t="s">
        <v>140</v>
      </c>
    </row>
    <row r="252" spans="1:1" ht="20.100000000000001" customHeight="1" x14ac:dyDescent="0.2">
      <c r="A252" s="21" t="s">
        <v>141</v>
      </c>
    </row>
    <row r="253" spans="1:1" ht="20.100000000000001" customHeight="1" x14ac:dyDescent="0.2">
      <c r="A253" s="21" t="s">
        <v>142</v>
      </c>
    </row>
    <row r="254" spans="1:1" ht="20.100000000000001" customHeight="1" x14ac:dyDescent="0.2">
      <c r="A254" s="25" t="s">
        <v>143</v>
      </c>
    </row>
    <row r="255" spans="1:1" ht="20.100000000000001" customHeight="1" x14ac:dyDescent="0.2">
      <c r="A255" s="25" t="s">
        <v>144</v>
      </c>
    </row>
    <row r="256" spans="1:1" ht="20.100000000000001" customHeight="1" x14ac:dyDescent="0.2">
      <c r="A256" s="26" t="s">
        <v>145</v>
      </c>
    </row>
    <row r="257" spans="1:1" ht="20.100000000000001" customHeight="1" x14ac:dyDescent="0.2">
      <c r="A257" s="21" t="s">
        <v>146</v>
      </c>
    </row>
    <row r="258" spans="1:1" ht="20.100000000000001" customHeight="1" x14ac:dyDescent="0.2">
      <c r="A258" s="26" t="s">
        <v>147</v>
      </c>
    </row>
    <row r="259" spans="1:1" ht="20.100000000000001" customHeight="1" x14ac:dyDescent="0.2">
      <c r="A259" s="21" t="s">
        <v>148</v>
      </c>
    </row>
    <row r="260" spans="1:1" ht="20.100000000000001" customHeight="1" x14ac:dyDescent="0.2">
      <c r="A260" s="26" t="s">
        <v>149</v>
      </c>
    </row>
    <row r="261" spans="1:1" ht="20.100000000000001" customHeight="1" x14ac:dyDescent="0.2">
      <c r="A261" s="21" t="s">
        <v>150</v>
      </c>
    </row>
    <row r="262" spans="1:1" ht="20.100000000000001" customHeight="1" x14ac:dyDescent="0.2">
      <c r="A262" s="21" t="s">
        <v>151</v>
      </c>
    </row>
    <row r="263" spans="1:1" ht="20.100000000000001" customHeight="1" x14ac:dyDescent="0.2">
      <c r="A263" s="26" t="s">
        <v>152</v>
      </c>
    </row>
    <row r="264" spans="1:1" ht="20.100000000000001" customHeight="1" x14ac:dyDescent="0.2">
      <c r="A264" s="26" t="s">
        <v>153</v>
      </c>
    </row>
    <row r="265" spans="1:1" ht="20.100000000000001" customHeight="1" x14ac:dyDescent="0.2">
      <c r="A265" s="26" t="s">
        <v>154</v>
      </c>
    </row>
    <row r="266" spans="1:1" ht="20.100000000000001" customHeight="1" x14ac:dyDescent="0.2">
      <c r="A266" s="21" t="s">
        <v>155</v>
      </c>
    </row>
    <row r="267" spans="1:1" ht="20.100000000000001" customHeight="1" x14ac:dyDescent="0.2">
      <c r="A267" s="21" t="s">
        <v>156</v>
      </c>
    </row>
    <row r="268" spans="1:1" ht="20.100000000000001" customHeight="1" x14ac:dyDescent="0.2">
      <c r="A268" s="21" t="s">
        <v>157</v>
      </c>
    </row>
    <row r="269" spans="1:1" ht="20.100000000000001" customHeight="1" x14ac:dyDescent="0.2">
      <c r="A269" s="21" t="s">
        <v>158</v>
      </c>
    </row>
    <row r="270" spans="1:1" ht="20.100000000000001" customHeight="1" x14ac:dyDescent="0.2">
      <c r="A270" s="26" t="s">
        <v>159</v>
      </c>
    </row>
    <row r="271" spans="1:1" ht="20.100000000000001" customHeight="1" x14ac:dyDescent="0.2">
      <c r="A271" s="26" t="s">
        <v>160</v>
      </c>
    </row>
    <row r="272" spans="1:1" ht="20.100000000000001" customHeight="1" x14ac:dyDescent="0.2">
      <c r="A272" s="21" t="s">
        <v>161</v>
      </c>
    </row>
    <row r="273" spans="1:1" ht="20.100000000000001" customHeight="1" x14ac:dyDescent="0.2">
      <c r="A273" s="26" t="s">
        <v>162</v>
      </c>
    </row>
    <row r="274" spans="1:1" ht="20.100000000000001" customHeight="1" x14ac:dyDescent="0.2">
      <c r="A274" s="26" t="s">
        <v>163</v>
      </c>
    </row>
    <row r="275" spans="1:1" ht="20.100000000000001" customHeight="1" x14ac:dyDescent="0.2">
      <c r="A275" s="21" t="s">
        <v>164</v>
      </c>
    </row>
    <row r="276" spans="1:1" ht="20.100000000000001" customHeight="1" x14ac:dyDescent="0.2">
      <c r="A276" s="21" t="s">
        <v>165</v>
      </c>
    </row>
    <row r="277" spans="1:1" ht="20.100000000000001" customHeight="1" x14ac:dyDescent="0.2">
      <c r="A277" s="26" t="s">
        <v>166</v>
      </c>
    </row>
    <row r="278" spans="1:1" ht="20.100000000000001" customHeight="1" x14ac:dyDescent="0.2">
      <c r="A278" s="21" t="s">
        <v>167</v>
      </c>
    </row>
    <row r="279" spans="1:1" ht="20.100000000000001" customHeight="1" x14ac:dyDescent="0.2">
      <c r="A279" s="21" t="s">
        <v>168</v>
      </c>
    </row>
    <row r="280" spans="1:1" ht="20.100000000000001" customHeight="1" x14ac:dyDescent="0.2">
      <c r="A280" s="21" t="s">
        <v>169</v>
      </c>
    </row>
    <row r="281" spans="1:1" ht="20.100000000000001" customHeight="1" x14ac:dyDescent="0.2">
      <c r="A281" s="21" t="s">
        <v>170</v>
      </c>
    </row>
    <row r="282" spans="1:1" ht="20.100000000000001" customHeight="1" x14ac:dyDescent="0.2">
      <c r="A282" s="26" t="s">
        <v>171</v>
      </c>
    </row>
    <row r="283" spans="1:1" ht="20.100000000000001" customHeight="1" x14ac:dyDescent="0.2">
      <c r="A283" s="26" t="s">
        <v>172</v>
      </c>
    </row>
    <row r="284" spans="1:1" ht="20.100000000000001" customHeight="1" x14ac:dyDescent="0.2">
      <c r="A284" s="26" t="s">
        <v>173</v>
      </c>
    </row>
    <row r="285" spans="1:1" ht="20.100000000000001" customHeight="1" thickBot="1" x14ac:dyDescent="0.25">
      <c r="A285" s="21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2025-10-22T04:55:40Z</dcterms:modified>
</cp:coreProperties>
</file>