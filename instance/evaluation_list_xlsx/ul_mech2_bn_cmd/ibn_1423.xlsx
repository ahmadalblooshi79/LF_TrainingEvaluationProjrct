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684AAA6D-4E8E-3F4F-8C00-49D8AC4BF10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3" i="2"/>
  <c r="H23" i="2"/>
  <c r="G24" i="2"/>
  <c r="H24" i="2"/>
  <c r="G25" i="2"/>
  <c r="H25" i="2"/>
  <c r="G27" i="2"/>
  <c r="H27" i="2"/>
  <c r="G28" i="2"/>
  <c r="H28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<sst xmlns="http://schemas.openxmlformats.org/spreadsheetml/2006/main" count="263" uniqueCount="207">
  <si>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</si>
  <si>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</si>
  <si>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</si>
  <si>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</si>
  <si>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</si>
  <si>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</si>
  <si>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</si>
  <si>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</si>
  <si>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</si>
  <si>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</si>
  <si>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</si>
  <si>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</si>
  <si>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</si>
  <si>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</si>
  <si>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</si>
  <si>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</si>
  <si>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</si>
  <si>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</si>
  <si>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</si>
  <si>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</si>
  <si>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</si>
  <si>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</si>
  <si>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</si>
  <si>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</si>
  <si>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</si>
  <si>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</si>
  <si>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</si>
  <si>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</si>
  <si>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</si>
  <si>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</si>
  <si>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</si>
  <si>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</si>
  <si>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</si>
  <si>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</si>
  <si>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</si>
  <si>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</si>
  <si>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</si>
  <si>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</si>
  <si>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</si>
  <si>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</si>
  <si>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</si>
  <si>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</si>
  <si>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</si>
  <si>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</si>
  <si>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</si>
  <si>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</si>
  <si>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</si>
  <si>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</si>
  <si>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</si>
  <si>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</si>
  <si>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</si>
  <si>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</si>
  <si>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</si>
  <si>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</si>
  <si>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</si>
  <si>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</si>
  <si>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</si>
  <si>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</si>
  <si>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</si>
  <si>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</si>
  <si>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</si>
  <si>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</si>
  <si>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</si>
  <si>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</si>
  <si>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</si>
  <si>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</si>
  <si>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</si>
  <si>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</si>
  <si>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</si>
  <si>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</si>
  <si>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</si>
  <si>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</si>
  <si>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</si>
  <si>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</si>
  <si>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</si>
  <si>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</si>
  <si>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</si>
  <si>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</si>
  <si>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</si>
  <si>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</si>
  <si>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</si>
  <si>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</si>
  <si>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</si>
  <si>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</si>
  <si>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</si>
  <si>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</si>
  <si>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</si>
  <si>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</si>
  <si>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</si>
  <si>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</si>
  <si>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</si>
  <si>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</si>
  <si>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</si>
  <si>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</si>
  <si>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</si>
  <si>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</si>
  <si>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</si>
  <si>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</si>
  <si>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</si>
  <si>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</si>
  <si>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</si>
  <si>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</si>
  <si>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</si>
  <si>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</si>
  <si>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</si>
  <si>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</si>
  <si>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</si>
  <si>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</si>
  <si>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</si>
  <si>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</si>
  <si>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</si>
  <si>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</si>
  <si>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</si>
  <si>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</si>
  <si>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</si>
  <si>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</si>
  <si>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</si>
  <si>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</si>
  <si>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</si>
  <si>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</si>
  <si>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</si>
  <si>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</si>
  <si>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</si>
  <si>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</si>
  <si>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</si>
  <si>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</si>
  <si>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</si>
  <si>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</si>
  <si>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</si>
  <si>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</si>
  <si>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</si>
  <si>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</si>
  <si>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</si>
  <si>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</si>
  <si>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</si>
  <si>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</si>
  <si>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</si>
  <si>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</si>
  <si>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</si>
  <si>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</si>
  <si>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</si>
  <si>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</si>
  <si>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</si>
  <si>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</si>
  <si>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</si>
  <si>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</si>
  <si>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</si>
  <si>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</si>
  <si>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</si>
  <si>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</si>
  <si>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</si>
  <si>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</si>
  <si>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</si>
  <si>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</si>
  <si>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</si>
  <si>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</si>
  <si>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</si>
  <si>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</si>
  <si>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</si>
  <si>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</si>
  <si>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</si>
  <si>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</si>
  <si>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</si>
  <si>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</si>
  <si>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</si>
  <si>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</si>
  <si>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</si>
  <si>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</si>
  <si>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</si>
  <si>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</si>
  <si>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</si>
  <si>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</si>
  <si>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</si>
  <si>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</si>
  <si>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</si>
  <si>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</si>
  <si>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</si>
  <si>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</si>
  <si>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</si>
  <si>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</si>
  <si>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لوحدات المناورة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</si>
  <si>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</t>
    </r>
    <r>
      <rPr>
        <b/>
        <sz val="12"/>
        <color rgb="FF000000"/>
        <rFont val="Arial"/>
        <family val="2"/>
      </rPr>
      <t>، وتشمل:</t>
    </r>
  </si>
  <si>
    <t>أ.   أمر / برقية الحركة من المستوى الأعلـى.</t>
  </si>
  <si>
    <t>ب. وجود أمـر التنقل ودقة البيانات الواردة به.</t>
  </si>
  <si>
    <t>جـ. وجود جدول التنقل ودقة البيانات الواردة به.</t>
  </si>
  <si>
    <t>د.  وجود يومية التنقل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</si>
  <si>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</si>
  <si>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</si>
  <si>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</si>
  <si>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تعيين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</si>
  <si>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</si>
  <si>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، من حيـث:</t>
    </r>
  </si>
  <si>
    <t>أ.  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</si>
  <si>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/ جدول التحميل والركوب لكل آلية.</t>
  </si>
  <si>
    <t>جـ. مدى صلاحية وجاهزية الآليات من حيث (الوقود، المياه، الإطار الاحتياطي، شباك التمويه مع أعمدة التثبيت).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</si>
  <si>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حمولة آليات القافلة</t>
    </r>
    <r>
      <rPr>
        <b/>
        <sz val="12"/>
        <color theme="1"/>
        <rFont val="Arial"/>
        <family val="2"/>
      </rPr>
      <t>، من حيـث:</t>
    </r>
  </si>
  <si>
    <t>أ.   التأكد من عدم تحميل الآليات أكثر من حمولتها أو وضع حمولة غير مرتبة بحيث توحي بأنها محملة أكثر من حمولتها.</t>
  </si>
  <si>
    <t>ب. التأكد من تحميل ثلث ذخيرة الخط الأول لجميع الأصناف في صناديق (أثناء التنقل لتنفيذ التمارين الخارجية) مع وجود سند صرف لاستلام الذخائر.</t>
  </si>
  <si>
    <t>جـ.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</si>
  <si>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عند تحميل أي ذخيرة في القافلة</t>
    </r>
    <r>
      <rPr>
        <b/>
        <sz val="12"/>
        <color theme="1"/>
        <rFont val="Arial"/>
        <family val="2"/>
      </rPr>
      <t>، يتم توفير الآتي:</t>
    </r>
  </si>
  <si>
    <t>أ. سيارة إطفاء والتأكد من جاهزيتها وصلاحيتها وكفاءة طاقمها.</t>
  </si>
  <si>
    <t>ب.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</si>
  <si>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2"/>
        <color rgb="FF000000"/>
        <rFont val="Arial"/>
        <family val="2"/>
      </rPr>
      <t>الشؤون الإدارية.</t>
    </r>
  </si>
  <si>
    <t>أ.   توفر الإعاشة أثناء التنقـل.</t>
  </si>
  <si>
    <t>ب. سيارة إسعاف مع طبيب / ممرضة أو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</si>
  <si>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</si>
  <si>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 وجود آلية إنقاذ مركبات احتياط لآليات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</si>
</sst>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126614</xdr:colOff>
      <xdr:row>37</xdr:row>
      <xdr:rowOff>57028</xdr:rowOff>
    </xdr:from>
    <xdr:to>
      <xdr:col>8</xdr:col>
      <xdr:colOff>364271</xdr:colOff>
      <xdr:row>37</xdr:row>
      <xdr:rowOff>410908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4E3D269-B084-A72A-6105-A6B23CC48F52}"/>
                </a:ext>
              </a:extLst>
            </xdr14:cNvPr>
            <xdr14:cNvContentPartPr/>
          </xdr14:nvContentPartPr>
          <xdr14:nvPr macro=""/>
          <xdr14:xfrm>
            <a:off x="10423338529" y="18062640"/>
            <a:ext cx="892080" cy="3538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4E3D269-B084-A72A-6105-A6B23CC48F5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329529" y="18053640"/>
              <a:ext cx="909720" cy="37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373574</xdr:colOff>
      <xdr:row>37</xdr:row>
      <xdr:rowOff>187708</xdr:rowOff>
    </xdr:from>
    <xdr:to>
      <xdr:col>8</xdr:col>
      <xdr:colOff>550751</xdr:colOff>
      <xdr:row>38</xdr:row>
      <xdr:rowOff>35287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F837417-0314-0B9E-77C6-3429CBABB246}"/>
                </a:ext>
              </a:extLst>
            </xdr14:cNvPr>
            <xdr14:cNvContentPartPr/>
          </xdr14:nvContentPartPr>
          <xdr14:nvPr macro=""/>
          <xdr14:xfrm>
            <a:off x="10423152049" y="18193320"/>
            <a:ext cx="831600" cy="4975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F837417-0314-0B9E-77C6-3429CBABB24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143409" y="18184680"/>
              <a:ext cx="849240" cy="515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02.5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1918 500 5825,'0'0'0,"-1"0"2488,-3-3-999,1-8-769,-2 8-376,1 1-352,4 2 8,-2-4-32,0 2-40,1 0-8,1-1 56,0 3 0,0-2 56,0 2-32,3 0 48,-3-4 16,2 2-8,-2-1 24,2 3 24,-2 0 16,0 0-120,3-2 160,-3 2 24,2-2 32,1-1-64,-3 3 0,2-2-24,-2 2-128,2-3 88,1 3 64,-1-2-64,2 0-24,0 2-24,5-3-48,-9 3 8,2-2 16,8-1 24,-7 1-40,11 2 8,-5-2-8,1 2-24,-10 0 24,12-3 0,1 1-64,1 2 72,1-3 16,-1 1-8,2 2 56,-16 0-72,15-2 0,2 2 0,0 0-8,1 0 8,0 0 0,0 0-32,-18 0 32,19 0 0,0 1-40,-1 2 0,-1 1 8,-1 0-24,0-1 8,-16-3 48,16 5-72,0 5 16,-1-7-16,-2 7 16,1-7-16,-1 7 8,-13-10 64,12 4-48,0 8-8,-2-8 16,1 8-8,0-7 8,-2 7 24,-9-12 16,4 5-40,9 8 24,-9-8-16,6 8 24,-8-8-16,1 7 8,-3-12 16,4 5-16,0 7-16,-2-8 24,1 10 0,-3-5 16,0 1 0,0-10-8,-2 5 32,-1 7 16,-2-3-16,-5 1 16,1-1-8,-1 1 8,10-10-48,-13 11-8,-2-2 8,-1 2-16,-2 0-8,-1-2 56,-2 1-16,21-10-16,-21 5 32,-2 4-8,0-5 16,0 0-8,-2-1 16,1 1 16,24-4-64,-24 1 72,0-1 8,3 0-8,-1-2 8,1-2-16,0-7-56,21 11-8,-20-3-72,-2-9 16,1 2-40,-1-1-8,-1 2 96,2-3-48,21 12 56,-23-12-32,2 0-8,-3 0-16,-1 1-48,3 1 8,-3 1-8,25 9 104,-24-4-80,-3-9 8,0 9-32,0-6 0,0 7-72,0 0-8,27 3 184,-27-4-168,-2 4-40,0-2 8,-2 2 16,0 0 8,-3 1 64,34-1 112,-32 3-40,-1 2 0,0 0 8,2 0 24,1-2-16,1 2 64,29-5-40,-28 4 32,0-1-16,2 1 0,0-2-32,3 0 16,0-2 40,23 0-40,-22 0 64,4 0 48,1-3 48,2 0 24,0-8 88,0 7-80,15 4-192,-15-14 256,2 3-64,0-1-72,1-1 32,0 0 48,1-4-160,11 17-40,-9-17 104,4-2-24,-6 0-144,8 0 160,-2-2-88,0 1-8,5 20 0,-4-20 8,3 0 24,0 1-16,1 0 104,0-4-24,2 0 0,-2 23-96,4-21 208,6-2-112,-7 2 16,9 0 16,-2-2-176,0 3-24,-10 20 72,12-19-104,3 1-64,-1 3 16,1 1 88,0 0 8,2 3-144,-17 11 200,17-11-136,1 0-16,1 8-32,1-10 312,2 9-128,1-8-80,-23 12 80,23-2-32,1-8-136,3 8 144,-1-1-40,2 1-32,1-1 16,-29 3 80,28 0-136,4 0 80,0 0 24,1 0 24,1 4-112,0 0 0,-34-4 120,33 13-136,-1-8-104,1 5 176,-1 1-8,2-1-112,-2 2 32,-32-12 152,31 14-288,-1-2-49,-2 4 129,-2-2-16,-2 2-16,0 0 0,-24-16 240,22 16-304,-1 0-72,-2-2-80,-1 2-16,-1-1-24,-3 1 24,-14-16 472,16 16-352,-3-2 64,-1 0 144,-1-1-16,-7 0 55,9 1 33,-13-14 72,2 10-104,2 1 80,-2 1 0,1-2 16,-3 1 24,0-1 24,0-10-40,0 10 72,-3-5 8,-6 8 153,-1-4 7,-2 2 0,-2 1 40,14-12-280,-17 10 168,-1-1 88,-2 1-24,-2 0 40,-3-1 32,-3 2 0,28-11-304,-29 10 376,-2-1-8,-2 1 152,-2 1-64,-4-2-32,-1 3 9,40-12-433,-42 11 232,-2 0 0,-2 1-80,-4-2-40,-2 2-24,-2 2-16,54-14-72,-55 13 80,0 0-32,0 0 16,-1 2-8,-2-1 8,-1 1 32,59-15-96,-56 15 96,-1-1 48,1 1-104,1-1 0,0 0 0,1 1-80,54-15 40,-52 14 8,1-1-8,2-1 0,2 0-8,2-1-16,3 0-8,42-11 32,-42 11-56,1-2 8,3 1-32,1-1-56,2-4-144,3 6-352,32-11 632,-32 4-1057,4 6-543,0-6-424,4 1 471,1 0 489,2-2 480,21-3 584,-20 4-120,1-3-1760,19-1 1880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43:03.6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1990 29 12202,'0'0'0,"4"-2"1472,6-2-799,-10 4-673,4-3 200,7-1-216,-9 1-32,2 0-24,7 1 32,-9-1 16,-2 3 24,9 0 0,-6-2 8,1 0 40,-2 2 24,0 0 152,-2 0 216,0 0-440,0 0 616,-1 0 184,-2 0-56,-7 0-192,5 0-208,-10 0-208,15 0-136,-15 0 48,-5 1-48,-5 4-72,-5 5 32,-3 1-56,-1-1 40,34-10 56,-38 12-40,-1 2-32,-4 0-8,-4 2 24,-2 2-8,-1-1 32,50-17 32,-53 18 56,-2 1-80,-4 0-8,0 1-32,-2 2-48,-1-2 168,62-20-56,-61 21-72,1-2 8,0-1-8,6-2-56,2-1 136,4 0 112,48-15-120,-44 11-192,6 0-152,4-1-256,4-7-504,4 7-225,3-8-615,23-2 1944,-18 3-2641,4-2-335,2 0 823,7-1 777,0-2 752,1-9-1296,4 11 1920</inkml:trace>
  <inkml:trace contextRef="#ctx0" brushRef="#br0" timeOffset="1">1020 178 8529,'0'0'0,"-3"1"2889,-8 0-1705,-1 1-712,-4 1-344,16-3-128,-16 4-16,-2 7 48,-1-7-80,-1 7 0,1 0 184,-1-2-128,20-9-8,-22 10 40,1 2-32,-2-7-104,1 7 160,0-7 120,-1 4-80,23-9-104,-22 4 120,2 1-24,1-1-120,1 0 72,2 1 96,2-2-96,14-3-48,-13 4 73,2 0-57,1-3-121,7 0 202,-8 0-121,8 0 88,3-1-64,-4 0 56,0 0-160,1 0 120,-1 0-81,0 0 65,1 0 0,3 0 0,-5 0 25,0 0 79,-5 0-8,6-2-24,-10 2-72,4 0-64,10 0 64,-12 0-80,-3 0-8,0 0 120,-4 1 16,-3 0-32,-1 3 56,23-4-72,-24 4 48,1-1 216,0 1 208,-1-1-72,1 2 80,-2 0-88,25-5-392,-25 5 272,1-2 80,0 1 32,0-1-56,2 1-32,3 0 24,19-4-320,-19 1 256,3 0 41,1-1-89,1 0-88,4 0-16,5-2-80,5 2-24,-11-4 96,7-7-56,-5 9 56,7-10-56,-2 8-56,1-10 40,3 14-24,-2-11-120,1-2 48,0 0-80,1-2-8,0 1 16,0 0-65,0 14 209,3-16-104,1 0 56,0 2-24,6-1 8,-7 0 16,7 1-56,-10 14 104,4-13-88,9-2-8,-2 1-8,2 1 0,0-1-8,4 1 32,-17 13 80,17-11-96,1-1 40,0 9-40,1-9 8,0 10 16,0-2-48,-19 4 120,18-4-112,-1 2 0,-1 2-8,-3 0 8,1 0 0,0 2-24,-14-2 136,13 10-136,-3-6-24,1 9-8,0-1 24,-7 2-24,7 4 0,-11-18 168,3 19-152,1 4 0,5 1-8,-9 2 24,0 2 8,0 1 16,0-29 112,0 31-112,0 1 64,-2 1 0,-2 2 16,-1 5 0,-4 1-32,9-41 64,-4 42-48,-7 2-8,8 2 32,-8-1 8,7 3-24,-5-2 16,9-46 24,-4 45-32,1-1 8,1 0 8,1-2-1,1 0 17,4-3 33,-4-39-33,12 38 48,0 0 32,2-4 24,5-1 48,3-1 96,3-2 96,-25-30-344,28 29 464,1-2 152,4-3 64,1-1-8,4-4-24,3-1-120,-41-18-528,43 17 473,5-4-97,2-3-40,4-7-32,1 1-40,4-3-16,-59-1-248,61 0 232,2-2-24,4-10-40,2 1-40,-1-2-16,3-2-32,-71 15-80,69-16 64,2-1-88,0-1-16,0 0-40,-1 0-8,0-2-40,-70 20 128,69-22-384,2 0-624,0 1-761,-1-3-1055,0 0-1425,0 0 56,-70 24 4193,69-25-2889,-2-3-775,-67 28 3664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A33" zoomScale="130" zoomScaleNormal="100" zoomScaleSheetLayoutView="130" workbookViewId="0">
      <selection activeCell="G38" sqref="G38:J3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9" t="s">
        <v>180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2">
      <c r="B2" s="13" t="s">
        <v>8</v>
      </c>
      <c r="C2" s="85" t="s">
        <v>36</v>
      </c>
      <c r="D2" s="85"/>
      <c r="E2" s="13" t="s">
        <v>7</v>
      </c>
      <c r="F2" s="80">
        <v>45935</v>
      </c>
      <c r="G2" s="80"/>
      <c r="H2" s="80"/>
      <c r="I2" s="80"/>
      <c r="J2" s="80"/>
    </row>
    <row r="3" spans="1:10" ht="30" customHeight="1" x14ac:dyDescent="0.2">
      <c r="B3" s="13" t="s">
        <v>9</v>
      </c>
      <c r="C3" s="85" t="s">
        <v>77</v>
      </c>
      <c r="D3" s="85"/>
      <c r="E3" s="13" t="s">
        <v>6</v>
      </c>
      <c r="F3" s="85" t="s">
        <v>92</v>
      </c>
      <c r="G3" s="85"/>
      <c r="H3" s="85"/>
      <c r="I3" s="85"/>
      <c r="J3" s="85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5" customHeight="1" thickBot="1" x14ac:dyDescent="0.25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5" customHeight="1" thickBot="1" x14ac:dyDescent="0.25">
      <c r="A7" s="11"/>
      <c r="B7" s="88" t="s">
        <v>21</v>
      </c>
      <c r="C7" s="89"/>
      <c r="D7" s="89"/>
      <c r="E7" s="36" t="s">
        <v>18</v>
      </c>
      <c r="F7" s="36" t="s">
        <v>19</v>
      </c>
      <c r="G7" s="36" t="s">
        <v>22</v>
      </c>
      <c r="H7" s="36" t="s">
        <v>20</v>
      </c>
      <c r="I7" s="94" t="s">
        <v>25</v>
      </c>
      <c r="J7" s="95"/>
    </row>
    <row r="8" spans="1:10" ht="39.950000000000003" customHeight="1" x14ac:dyDescent="0.2">
      <c r="A8" s="11"/>
      <c r="B8" s="53" t="s">
        <v>181</v>
      </c>
      <c r="C8" s="54"/>
      <c r="D8" s="54"/>
      <c r="E8" s="30"/>
      <c r="F8" s="40"/>
      <c r="G8" s="41"/>
      <c r="H8" s="42"/>
      <c r="I8" s="65"/>
      <c r="J8" s="66"/>
    </row>
    <row r="9" spans="1:10" ht="39.950000000000003" customHeight="1" x14ac:dyDescent="0.2">
      <c r="A9" s="11"/>
      <c r="B9" s="49" t="s">
        <v>182</v>
      </c>
      <c r="C9" s="50"/>
      <c r="D9" s="50"/>
      <c r="E9" s="31">
        <v>5</v>
      </c>
      <c r="F9" s="27">
        <v>4.75</v>
      </c>
      <c r="G9" s="38">
        <f>IFERROR(F9/E9,"")</f>
        <v>0.95</v>
      </c>
      <c r="H9" s="39" t="str">
        <f>_xlfn.IFS(F9="أدخل العلامة","",F9="لا ينطبق","تم الإلغاء",G9&gt;=90%,"ممتاز",G9&gt;=80%,"جيد جداً",G9&gt;=70%,"جيد",G9&gt;=60%,"مقبول",G9&lt;60%,"راسب")</f>
        <v>ممتاز</v>
      </c>
      <c r="I9" s="61"/>
      <c r="J9" s="62"/>
    </row>
    <row r="10" spans="1:10" ht="39.950000000000003" customHeight="1" x14ac:dyDescent="0.2">
      <c r="A10" s="11"/>
      <c r="B10" s="49" t="s">
        <v>183</v>
      </c>
      <c r="C10" s="50"/>
      <c r="D10" s="50"/>
      <c r="E10" s="31">
        <v>8</v>
      </c>
      <c r="F10" s="27">
        <v>7.5</v>
      </c>
      <c r="G10" s="38">
        <f t="shared" ref="G10:G33" si="0">IFERROR(F10/E10,"")</f>
        <v>0.9375</v>
      </c>
      <c r="H10" s="3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ممتاز</v>
      </c>
      <c r="I10" s="61"/>
      <c r="J10" s="62"/>
    </row>
    <row r="11" spans="1:10" ht="39.950000000000003" customHeight="1" x14ac:dyDescent="0.2">
      <c r="A11" s="11"/>
      <c r="B11" s="49" t="s">
        <v>184</v>
      </c>
      <c r="C11" s="50"/>
      <c r="D11" s="50"/>
      <c r="E11" s="31">
        <v>5</v>
      </c>
      <c r="F11" s="27">
        <v>4.5</v>
      </c>
      <c r="G11" s="38">
        <f t="shared" si="0"/>
        <v>0.9</v>
      </c>
      <c r="H11" s="39" t="str">
        <f t="shared" si="1"/>
        <v>ممتاز</v>
      </c>
      <c r="I11" s="61"/>
      <c r="J11" s="62"/>
    </row>
    <row r="12" spans="1:10" ht="39.950000000000003" customHeight="1" thickBot="1" x14ac:dyDescent="0.25">
      <c r="A12" s="11"/>
      <c r="B12" s="51" t="s">
        <v>185</v>
      </c>
      <c r="C12" s="52"/>
      <c r="D12" s="52"/>
      <c r="E12" s="32">
        <v>5</v>
      </c>
      <c r="F12" s="29">
        <v>4.75</v>
      </c>
      <c r="G12" s="43">
        <f t="shared" si="0"/>
        <v>0.95</v>
      </c>
      <c r="H12" s="44" t="str">
        <f t="shared" si="1"/>
        <v>ممتاز</v>
      </c>
      <c r="I12" s="63"/>
      <c r="J12" s="64"/>
    </row>
    <row r="13" spans="1:10" ht="39.950000000000003" customHeight="1" thickBot="1" x14ac:dyDescent="0.25">
      <c r="A13" s="11"/>
      <c r="B13" s="59" t="s">
        <v>186</v>
      </c>
      <c r="C13" s="60"/>
      <c r="D13" s="60"/>
      <c r="E13" s="33">
        <v>10</v>
      </c>
      <c r="F13" s="45">
        <v>7.75</v>
      </c>
      <c r="G13" s="46">
        <f t="shared" si="0"/>
        <v>0.77500000000000002</v>
      </c>
      <c r="H13" s="28" t="str">
        <f t="shared" si="1"/>
        <v>جيد</v>
      </c>
      <c r="I13" s="71"/>
      <c r="J13" s="72"/>
    </row>
    <row r="14" spans="1:10" ht="39.950000000000003" customHeight="1" thickBot="1" x14ac:dyDescent="0.25">
      <c r="A14" s="11"/>
      <c r="B14" s="59" t="s">
        <v>187</v>
      </c>
      <c r="C14" s="60"/>
      <c r="D14" s="60"/>
      <c r="E14" s="10">
        <v>10</v>
      </c>
      <c r="F14" s="45">
        <v>7.75</v>
      </c>
      <c r="G14" s="46">
        <f t="shared" si="0"/>
        <v>0.77500000000000002</v>
      </c>
      <c r="H14" s="28" t="str">
        <f t="shared" si="1"/>
        <v>جيد</v>
      </c>
      <c r="I14" s="71"/>
      <c r="J14" s="72"/>
    </row>
    <row r="15" spans="1:10" ht="57" customHeight="1" thickBot="1" x14ac:dyDescent="0.25">
      <c r="A15" s="11"/>
      <c r="B15" s="59" t="s">
        <v>188</v>
      </c>
      <c r="C15" s="60"/>
      <c r="D15" s="60"/>
      <c r="E15" s="10">
        <v>10</v>
      </c>
      <c r="F15" s="45">
        <v>8</v>
      </c>
      <c r="G15" s="46">
        <f t="shared" si="0"/>
        <v>0.8</v>
      </c>
      <c r="H15" s="28" t="str">
        <f t="shared" si="1"/>
        <v>جيد جداً</v>
      </c>
      <c r="I15" s="71"/>
      <c r="J15" s="72"/>
    </row>
    <row r="16" spans="1:10" ht="39.950000000000003" customHeight="1" thickBot="1" x14ac:dyDescent="0.25">
      <c r="A16" s="11"/>
      <c r="B16" s="59" t="s">
        <v>189</v>
      </c>
      <c r="C16" s="60"/>
      <c r="D16" s="60"/>
      <c r="E16" s="10">
        <v>10</v>
      </c>
      <c r="F16" s="45">
        <v>8.25</v>
      </c>
      <c r="G16" s="46">
        <f t="shared" si="0"/>
        <v>0.82499999999999996</v>
      </c>
      <c r="H16" s="28" t="str">
        <f t="shared" si="1"/>
        <v>جيد جداً</v>
      </c>
      <c r="I16" s="71"/>
      <c r="J16" s="72"/>
    </row>
    <row r="17" spans="1:10" ht="39.950000000000003" customHeight="1" thickBot="1" x14ac:dyDescent="0.25">
      <c r="A17" s="11"/>
      <c r="B17" s="59" t="s">
        <v>190</v>
      </c>
      <c r="C17" s="60"/>
      <c r="D17" s="60"/>
      <c r="E17" s="10">
        <v>5</v>
      </c>
      <c r="F17" s="45">
        <v>4.25</v>
      </c>
      <c r="G17" s="46">
        <f t="shared" si="0"/>
        <v>0.85</v>
      </c>
      <c r="H17" s="28" t="str">
        <f t="shared" si="1"/>
        <v>جيد جداً</v>
      </c>
      <c r="I17" s="71"/>
      <c r="J17" s="72"/>
    </row>
    <row r="18" spans="1:10" ht="39.950000000000003" customHeight="1" x14ac:dyDescent="0.2">
      <c r="A18" s="11"/>
      <c r="B18" s="47" t="s">
        <v>191</v>
      </c>
      <c r="C18" s="48"/>
      <c r="D18" s="48"/>
      <c r="E18" s="30"/>
      <c r="F18" s="40"/>
      <c r="G18" s="41"/>
      <c r="H18" s="42"/>
      <c r="I18" s="65"/>
      <c r="J18" s="66"/>
    </row>
    <row r="19" spans="1:10" ht="51" customHeight="1" x14ac:dyDescent="0.2">
      <c r="A19" s="11"/>
      <c r="B19" s="49" t="s">
        <v>192</v>
      </c>
      <c r="C19" s="50"/>
      <c r="D19" s="50"/>
      <c r="E19" s="9">
        <v>6</v>
      </c>
      <c r="F19" s="27">
        <v>4.25</v>
      </c>
      <c r="G19" s="38">
        <f t="shared" si="0"/>
        <v>0.70833333333333337</v>
      </c>
      <c r="H19" s="39" t="str">
        <f t="shared" si="1"/>
        <v>جيد</v>
      </c>
      <c r="I19" s="61"/>
      <c r="J19" s="62"/>
    </row>
    <row r="20" spans="1:10" ht="39.950000000000003" customHeight="1" x14ac:dyDescent="0.2">
      <c r="A20" s="11"/>
      <c r="B20" s="49" t="s">
        <v>193</v>
      </c>
      <c r="C20" s="50"/>
      <c r="D20" s="50"/>
      <c r="E20" s="9">
        <v>6</v>
      </c>
      <c r="F20" s="27">
        <v>3</v>
      </c>
      <c r="G20" s="38">
        <f t="shared" si="0"/>
        <v>0.5</v>
      </c>
      <c r="H20" s="39" t="str">
        <f t="shared" si="1"/>
        <v>راسب</v>
      </c>
      <c r="I20" s="61"/>
      <c r="J20" s="62"/>
    </row>
    <row r="21" spans="1:10" ht="39.950000000000003" customHeight="1" thickBot="1" x14ac:dyDescent="0.25">
      <c r="A21" s="11"/>
      <c r="B21" s="51" t="s">
        <v>194</v>
      </c>
      <c r="C21" s="52"/>
      <c r="D21" s="52"/>
      <c r="E21" s="34">
        <v>6</v>
      </c>
      <c r="F21" s="29">
        <v>4.5</v>
      </c>
      <c r="G21" s="43">
        <f t="shared" si="0"/>
        <v>0.75</v>
      </c>
      <c r="H21" s="44" t="str">
        <f t="shared" si="1"/>
        <v>جيد</v>
      </c>
      <c r="I21" s="63"/>
      <c r="J21" s="64"/>
    </row>
    <row r="22" spans="1:10" ht="39.950000000000003" customHeight="1" x14ac:dyDescent="0.2">
      <c r="A22" s="11"/>
      <c r="B22" s="53" t="s">
        <v>195</v>
      </c>
      <c r="C22" s="54"/>
      <c r="D22" s="54"/>
      <c r="E22" s="35"/>
      <c r="F22" s="40"/>
      <c r="G22" s="41"/>
      <c r="H22" s="42"/>
      <c r="I22" s="65"/>
      <c r="J22" s="66"/>
    </row>
    <row r="23" spans="1:10" ht="39.950000000000003" customHeight="1" x14ac:dyDescent="0.2">
      <c r="A23" s="11"/>
      <c r="B23" s="49" t="s">
        <v>196</v>
      </c>
      <c r="C23" s="50"/>
      <c r="D23" s="50"/>
      <c r="E23" s="31">
        <v>6</v>
      </c>
      <c r="F23" s="27">
        <v>5.25</v>
      </c>
      <c r="G23" s="38">
        <f t="shared" si="0"/>
        <v>0.875</v>
      </c>
      <c r="H23" s="39" t="str">
        <f t="shared" si="1"/>
        <v>جيد جداً</v>
      </c>
      <c r="I23" s="61"/>
      <c r="J23" s="62"/>
    </row>
    <row r="24" spans="1:10" ht="51" customHeight="1" x14ac:dyDescent="0.2">
      <c r="A24" s="11"/>
      <c r="B24" s="49" t="s">
        <v>197</v>
      </c>
      <c r="C24" s="50"/>
      <c r="D24" s="50"/>
      <c r="E24" s="31">
        <v>10</v>
      </c>
      <c r="F24" s="27">
        <v>8.75</v>
      </c>
      <c r="G24" s="38">
        <f t="shared" si="0"/>
        <v>0.875</v>
      </c>
      <c r="H24" s="39" t="str">
        <f t="shared" si="1"/>
        <v>جيد جداً</v>
      </c>
      <c r="I24" s="61"/>
      <c r="J24" s="62"/>
    </row>
    <row r="25" spans="1:10" ht="39.950000000000003" customHeight="1" thickBot="1" x14ac:dyDescent="0.25">
      <c r="A25" s="11"/>
      <c r="B25" s="51" t="s">
        <v>198</v>
      </c>
      <c r="C25" s="52"/>
      <c r="D25" s="52"/>
      <c r="E25" s="32">
        <v>5</v>
      </c>
      <c r="F25" s="29">
        <v>4.25</v>
      </c>
      <c r="G25" s="43">
        <f t="shared" si="0"/>
        <v>0.85</v>
      </c>
      <c r="H25" s="44" t="str">
        <f t="shared" si="1"/>
        <v>جيد جداً</v>
      </c>
      <c r="I25" s="63"/>
      <c r="J25" s="64"/>
    </row>
    <row r="26" spans="1:10" ht="39.950000000000003" customHeight="1" x14ac:dyDescent="0.2">
      <c r="A26" s="11"/>
      <c r="B26" s="47" t="s">
        <v>199</v>
      </c>
      <c r="C26" s="48"/>
      <c r="D26" s="48"/>
      <c r="E26" s="30"/>
      <c r="F26" s="40"/>
      <c r="G26" s="41"/>
      <c r="H26" s="42"/>
      <c r="I26" s="65"/>
      <c r="J26" s="66"/>
    </row>
    <row r="27" spans="1:10" ht="39.950000000000003" customHeight="1" x14ac:dyDescent="0.2">
      <c r="A27" s="11"/>
      <c r="B27" s="49" t="s">
        <v>200</v>
      </c>
      <c r="C27" s="50"/>
      <c r="D27" s="50"/>
      <c r="E27" s="9">
        <v>10</v>
      </c>
      <c r="F27" s="27">
        <v>8</v>
      </c>
      <c r="G27" s="38">
        <f t="shared" si="0"/>
        <v>0.8</v>
      </c>
      <c r="H27" s="39" t="str">
        <f t="shared" si="1"/>
        <v>جيد جداً</v>
      </c>
      <c r="I27" s="61"/>
      <c r="J27" s="62"/>
    </row>
    <row r="28" spans="1:10" ht="39.950000000000003" customHeight="1" thickBot="1" x14ac:dyDescent="0.25">
      <c r="A28" s="11"/>
      <c r="B28" s="51" t="s">
        <v>201</v>
      </c>
      <c r="C28" s="52"/>
      <c r="D28" s="52"/>
      <c r="E28" s="34">
        <v>10</v>
      </c>
      <c r="F28" s="29">
        <v>8</v>
      </c>
      <c r="G28" s="43">
        <f t="shared" si="0"/>
        <v>0.8</v>
      </c>
      <c r="H28" s="44" t="str">
        <f t="shared" si="1"/>
        <v>جيد جداً</v>
      </c>
      <c r="I28" s="63"/>
      <c r="J28" s="64"/>
    </row>
    <row r="29" spans="1:10" ht="39.950000000000003" customHeight="1" x14ac:dyDescent="0.2">
      <c r="A29" s="11"/>
      <c r="B29" s="53" t="s">
        <v>202</v>
      </c>
      <c r="C29" s="54"/>
      <c r="D29" s="54"/>
      <c r="E29" s="30"/>
      <c r="F29" s="40"/>
      <c r="G29" s="41"/>
      <c r="H29" s="42"/>
      <c r="I29" s="65"/>
      <c r="J29" s="66"/>
    </row>
    <row r="30" spans="1:10" ht="39.950000000000003" customHeight="1" x14ac:dyDescent="0.2">
      <c r="A30" s="11"/>
      <c r="B30" s="55" t="s">
        <v>203</v>
      </c>
      <c r="C30" s="56"/>
      <c r="D30" s="56"/>
      <c r="E30" s="9">
        <v>5</v>
      </c>
      <c r="F30" s="27">
        <v>3.75</v>
      </c>
      <c r="G30" s="38">
        <f t="shared" si="0"/>
        <v>0.75</v>
      </c>
      <c r="H30" s="39" t="str">
        <f t="shared" si="1"/>
        <v>جيد</v>
      </c>
      <c r="I30" s="61"/>
      <c r="J30" s="62"/>
    </row>
    <row r="31" spans="1:10" ht="39.950000000000003" customHeight="1" x14ac:dyDescent="0.2">
      <c r="A31" s="11"/>
      <c r="B31" s="55" t="s">
        <v>204</v>
      </c>
      <c r="C31" s="56"/>
      <c r="D31" s="56"/>
      <c r="E31" s="9">
        <v>6</v>
      </c>
      <c r="F31" s="27">
        <v>5.25</v>
      </c>
      <c r="G31" s="38">
        <f t="shared" si="0"/>
        <v>0.875</v>
      </c>
      <c r="H31" s="39" t="str">
        <f t="shared" si="1"/>
        <v>جيد جداً</v>
      </c>
      <c r="I31" s="61"/>
      <c r="J31" s="62"/>
    </row>
    <row r="32" spans="1:10" ht="39.950000000000003" customHeight="1" x14ac:dyDescent="0.2">
      <c r="A32" s="11"/>
      <c r="B32" s="55" t="s">
        <v>205</v>
      </c>
      <c r="C32" s="56"/>
      <c r="D32" s="56"/>
      <c r="E32" s="9">
        <v>6</v>
      </c>
      <c r="F32" s="27">
        <v>5.25</v>
      </c>
      <c r="G32" s="38">
        <f t="shared" si="0"/>
        <v>0.875</v>
      </c>
      <c r="H32" s="39" t="str">
        <f t="shared" si="1"/>
        <v>جيد جداً</v>
      </c>
      <c r="I32" s="61"/>
      <c r="J32" s="62"/>
    </row>
    <row r="33" spans="1:10" ht="39.950000000000003" customHeight="1" thickBot="1" x14ac:dyDescent="0.25">
      <c r="A33" s="11"/>
      <c r="B33" s="57" t="s">
        <v>206</v>
      </c>
      <c r="C33" s="58"/>
      <c r="D33" s="58"/>
      <c r="E33" s="32">
        <v>6</v>
      </c>
      <c r="F33" s="29">
        <v>5.25</v>
      </c>
      <c r="G33" s="43">
        <f t="shared" si="0"/>
        <v>0.875</v>
      </c>
      <c r="H33" s="44" t="str">
        <f t="shared" si="1"/>
        <v>جيد جداً</v>
      </c>
      <c r="I33" s="63"/>
      <c r="J33" s="64"/>
    </row>
    <row r="34" spans="1:10" ht="30" customHeight="1" thickBot="1" x14ac:dyDescent="0.25">
      <c r="A34" s="4"/>
      <c r="B34" s="67" t="s">
        <v>5</v>
      </c>
      <c r="C34" s="68"/>
      <c r="D34" s="68"/>
      <c r="E34" s="37">
        <f>SUM(E8:E33)</f>
        <v>150</v>
      </c>
      <c r="F34" s="37">
        <f>SUM(F8:F33)</f>
        <v>123</v>
      </c>
      <c r="G34" s="98"/>
      <c r="H34" s="99"/>
      <c r="I34" s="99"/>
      <c r="J34" s="100"/>
    </row>
    <row r="35" spans="1:10" ht="30" customHeight="1" thickBot="1" x14ac:dyDescent="0.25">
      <c r="A35" s="4"/>
      <c r="B35" s="69" t="s">
        <v>54</v>
      </c>
      <c r="C35" s="70"/>
      <c r="D35" s="70"/>
      <c r="E35" s="86">
        <f>F34/E34/100*100</f>
        <v>0.81999999999999984</v>
      </c>
      <c r="F35" s="86"/>
      <c r="G35" s="86"/>
      <c r="H35" s="86"/>
      <c r="I35" s="86"/>
      <c r="J35" s="87"/>
    </row>
    <row r="36" spans="1:10" ht="30" customHeight="1" thickBot="1" x14ac:dyDescent="0.25">
      <c r="A36" s="4"/>
      <c r="B36" s="69" t="s">
        <v>55</v>
      </c>
      <c r="C36" s="70"/>
      <c r="D36" s="70"/>
      <c r="E36" s="77" t="str">
        <f>_xlfn.IFS(E35&gt;=90%,"ممتاز",E35&gt;=80%,"جيد جداً",E35&gt;=70%,"جيد",E35&gt;=60%,"مقبول",E35&lt;60%,"راسب")</f>
        <v>جيد جداً</v>
      </c>
      <c r="F36" s="77"/>
      <c r="G36" s="77"/>
      <c r="H36" s="77"/>
      <c r="I36" s="77"/>
      <c r="J36" s="78"/>
    </row>
    <row r="37" spans="1:10" ht="42" customHeight="1" x14ac:dyDescent="0.2">
      <c r="B37" s="73" t="s">
        <v>174</v>
      </c>
      <c r="C37" s="73"/>
      <c r="D37" s="73"/>
      <c r="E37" s="96" t="s">
        <v>52</v>
      </c>
      <c r="F37" s="96"/>
      <c r="G37" s="75" t="s">
        <v>92</v>
      </c>
      <c r="H37" s="75"/>
      <c r="I37" s="75"/>
      <c r="J37" s="75"/>
    </row>
    <row r="38" spans="1:10" ht="51" customHeight="1" x14ac:dyDescent="0.2">
      <c r="A38" s="5"/>
      <c r="B38" s="74"/>
      <c r="C38" s="74"/>
      <c r="D38" s="74"/>
      <c r="E38" s="97" t="s">
        <v>53</v>
      </c>
      <c r="F38" s="97"/>
      <c r="G38" s="76"/>
      <c r="H38" s="76"/>
      <c r="I38" s="76"/>
      <c r="J38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I33:J33"/>
    <mergeCell ref="I8:J8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15:D15"/>
    <mergeCell ref="B16:D16"/>
    <mergeCell ref="I32:J32"/>
    <mergeCell ref="I23:J23"/>
    <mergeCell ref="I24:J24"/>
    <mergeCell ref="I25:J25"/>
    <mergeCell ref="I26:J26"/>
    <mergeCell ref="I27:J27"/>
    <mergeCell ref="B8:D8"/>
    <mergeCell ref="B9:D9"/>
    <mergeCell ref="B10:D10"/>
    <mergeCell ref="B11:D11"/>
    <mergeCell ref="B12:D12"/>
    <mergeCell ref="B31:D31"/>
    <mergeCell ref="B32:D3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60">
      <formula>$E36="جيد جداً"</formula>
    </cfRule>
    <cfRule type="expression" dxfId="12" priority="59">
      <formula>$E36="جيد"</formula>
    </cfRule>
    <cfRule type="expression" dxfId="11" priority="58">
      <formula>$E36="مقبول"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F17 F25 F9 F11:F12 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F10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F13:F16 F24 F27 F28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F19 F20 F21 F23 F31 F32 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6" zoomScaleNormal="100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2025-09-22T05:44:47Z</dcterms:modified>
</cp:coreProperties>
</file>