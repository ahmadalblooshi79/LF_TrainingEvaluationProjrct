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86D68C4-D431-5F41-8E84-39E3F6DF5FE7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التقييم'!$A$1:$J$64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3" i="2"/>
  <c r="H33" i="2"/>
  <c r="G34" i="2"/>
  <c r="H34" i="2"/>
  <c r="G35" i="2"/>
  <c r="H35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3" i="2"/>
  <c r="H53" i="2"/>
  <c r="G54" i="2"/>
  <c r="H54" i="2"/>
  <c r="G55" i="2"/>
  <c r="H55" i="2"/>
  <c r="G57" i="2"/>
  <c r="H57" i="2"/>
  <c r="G58" i="2"/>
  <c r="H58" i="2"/>
  <c r="G59" i="2"/>
  <c r="H59" i="2"/>
  <c r="F60" i="2"/>
  <c r="E60" i="2"/>
  <c r="E61" i="2"/>
  <c r="E62" i="2"/>
</calcChain>
</file>

<file path=xl/sharedStrings.xml><?xml version="1.0" encoding="utf-8"?>
<sst xmlns="http://schemas.openxmlformats.org/spreadsheetml/2006/main" count="289" uniqueCount="233">
  <si>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</si>
  <si>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</si>
  <si>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</si>
  <si>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</si>
  <si>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</si>
  <si>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</si>
  <si>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</si>
  <si>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</si>
  <si>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</si>
  <si>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</si>
  <si>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</si>
  <si>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</si>
  <si>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</si>
  <si>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</si>
  <si>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</si>
  <si>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</si>
  <si>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</si>
  <si>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</si>
  <si>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</si>
  <si>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</si>
  <si>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</si>
  <si>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</si>
  <si>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</si>
  <si>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</si>
  <si>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</si>
  <si>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</si>
  <si>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</si>
  <si>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</si>
  <si>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</si>
  <si>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</si>
  <si>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</si>
  <si>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</si>
  <si>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</si>
  <si>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</si>
  <si>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</si>
  <si>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</si>
  <si>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</si>
  <si>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</si>
  <si>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</si>
  <si>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</si>
  <si>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</si>
  <si>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</si>
  <si>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</si>
  <si>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</si>
  <si>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</si>
  <si>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</si>
  <si>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</si>
  <si>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</si>
  <si>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</si>
  <si>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</si>
  <si>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</si>
  <si>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</si>
  <si>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</si>
  <si>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</si>
  <si>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</si>
  <si>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</si>
  <si>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</si>
  <si>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</si>
  <si>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</si>
  <si>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</si>
  <si>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</si>
  <si>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</si>
  <si>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</si>
  <si>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</si>
  <si>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</si>
  <si>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</si>
  <si>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</si>
  <si>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</si>
  <si>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</si>
  <si>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</si>
  <si>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</si>
  <si>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</si>
  <si>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</si>
  <si>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</si>
  <si>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</si>
  <si>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</si>
  <si>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</si>
  <si>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</si>
  <si>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</si>
  <si>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</si>
  <si>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</si>
  <si>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</si>
  <si>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</si>
  <si>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</si>
  <si>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</si>
  <si>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</si>
  <si>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</si>
  <si>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</si>
  <si>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</si>
  <si>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</si>
  <si>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</si>
  <si>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</si>
  <si>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</si>
  <si>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</si>
  <si>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</si>
  <si>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</si>
  <si>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</si>
  <si>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</si>
  <si>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</si>
  <si>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</si>
  <si>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</si>
  <si>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</si>
  <si>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</si>
  <si>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</si>
  <si>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</si>
  <si>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</si>
  <si>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</si>
  <si>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</si>
  <si>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</si>
  <si>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</si>
  <si>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</si>
  <si>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</si>
  <si>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</si>
  <si>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</si>
  <si>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</si>
  <si>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</si>
  <si>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</si>
  <si>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</si>
  <si>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</si>
  <si>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</si>
  <si>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</si>
  <si>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</si>
  <si>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</si>
  <si>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</si>
  <si>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</si>
  <si>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</si>
  <si>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</si>
  <si>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</si>
  <si>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</si>
  <si>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</si>
  <si>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</si>
  <si>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</si>
  <si>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</si>
  <si>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</si>
  <si>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</si>
  <si>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</si>
  <si>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</si>
  <si>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</si>
  <si>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</si>
  <si>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</si>
  <si>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</si>
  <si>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</si>
  <si>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</si>
  <si>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</si>
  <si>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</si>
  <si>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</si>
  <si>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</si>
  <si>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</si>
  <si>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</si>
  <si>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</si>
  <si>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</si>
  <si>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</si>
  <si>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</si>
  <si>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</si>
  <si>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</si>
  <si>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</si>
  <si>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</si>
  <si>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</si>
  <si>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</si>
  <si>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</si>
  <si>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</si>
  <si>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</si>
  <si>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</si>
  <si>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</si>
  <si>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</si>
  <si>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</si>
  <si>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</si>
  <si>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</si>
  <si>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</si>
  <si>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</si>
  <si>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</si>
  <si>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</si>
  <si>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</si>
  <si>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</si>
  <si>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</si>
  <si>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</si>
  <si>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</si>
  <si>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</si>
  <si>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</si>
  <si>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</si>
  <si>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الشؤون الإدارية</t>
    </r>
    <r>
      <rPr>
        <b/>
        <sz val="12"/>
        <color theme="1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</si>
  <si>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المرتب من الآليات ونسبة الصلاحية.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</si>
  <si>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استكمال الطاقم المؤهل بالنسبة لعدد الآليات (السواقين).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</si>
  <si>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كشف معتمد من القائد بالمرتب والموجود ونسبة الصلاحية للآليات.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</si>
  <si>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العهدة.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</si>
  <si>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ملف لحفظ سندات الصرف والاستلام للآليات والعـدة.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</si>
  <si>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الحركة.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</si>
  <si>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الحوادث.</t>
    </r>
  </si>
  <si>
    <r>
      <t>8.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تسليم واستلام الآليات.</t>
    </r>
  </si>
  <si>
    <r>
      <t>9.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وجود وإدامة سجل الدخول والخروج من الورشة / المشاغل / مراكز الإصلاح.</t>
    </r>
  </si>
  <si>
    <r>
      <t>10.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تعليمات وإجراءات الصيانة الدورية واللوحات الإرشادية.</t>
    </r>
  </si>
  <si>
    <r>
      <t>11.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التقيد بالتعليمات والإجراءات لإدخال الآليات لمراكز الإصلاح.</t>
    </r>
  </si>
  <si>
    <r>
      <t>12.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إدامة السجلات الخاصة بكل آلية بواسطة الطاقم وتصديق الضابط المسؤول.</t>
    </r>
  </si>
  <si>
    <r>
      <t>13.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معرفة السائق بالآلية وإلمامه بالتعليمات والصيانة.</t>
    </r>
  </si>
  <si>
    <r>
      <t>14.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إلمام ضابط النقليات بمهامه وواجباته.</t>
    </r>
  </si>
  <si>
    <r>
      <t>15.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Times New Roman"/>
        <family val="1"/>
      </rPr>
      <t>وجود ملف لحفظ نماذج شطب الآليات.</t>
    </r>
  </si>
  <si>
    <r>
      <t>مجموعـة الجسم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</si>
  <si>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النظافة.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</si>
  <si>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وجود أي نواقص.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</si>
  <si>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الضرر.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</si>
  <si>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حالة الصبغ.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</si>
  <si>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فحص الإطارات.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</si>
  <si>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صندوق العدة ومحتوياته.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</si>
  <si>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مقاعد غرفة القيادة والركاب.</t>
    </r>
  </si>
  <si>
    <r>
      <t>الزيـوت / السوائـل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</si>
  <si>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مستـوى الزيـت / المياه (المحرك ، نظـام ناقل الحركة ، الفرامل ، مبرد المياه (الراديتر).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</si>
  <si>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عدم تسرّب الزيت / المياه من أجزاء الآلية.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</si>
  <si>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التقيد بتوقيتات تغيير الزيت.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</si>
  <si>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التشحيــم.</t>
    </r>
  </si>
  <si>
    <r>
      <t>مجموعة القـوى</t>
    </r>
    <r>
      <rPr>
        <b/>
        <sz val="12"/>
        <color rgb="FFFF0000"/>
        <rFont val="Arial"/>
        <family val="2"/>
      </rPr>
      <t xml:space="preserve"> </t>
    </r>
    <r>
      <rPr>
        <b/>
        <sz val="12"/>
        <color rgb="FF000000"/>
        <rFont val="Arial"/>
        <family val="2"/>
      </rPr>
      <t>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</si>
  <si>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المحرك.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</si>
  <si>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الوقود.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</si>
  <si>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ناقل الحركة.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</si>
  <si>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التبريد.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</si>
  <si>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الفرامل.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</si>
  <si>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التوجيه.</t>
    </r>
  </si>
  <si>
    <r>
      <t>7.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إطفاء الحريق (طفاية الحريق وصلاحيتها).</t>
    </r>
  </si>
  <si>
    <r>
      <t>الأنظمة الكهربائية والإلكترونية</t>
    </r>
    <r>
      <rPr>
        <b/>
        <sz val="12"/>
        <color rgb="FF000000"/>
        <rFont val="Arial"/>
        <family val="2"/>
      </rPr>
      <t xml:space="preserve"> (يتم التأكد من التالي):</t>
    </r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</si>
  <si>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البطاريات.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</si>
  <si>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التشغيل.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</si>
  <si>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المولــــد.</t>
    </r>
  </si>
  <si>
    <r>
      <t>4.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الداخلية.</t>
    </r>
  </si>
  <si>
    <r>
      <t>5.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الإنارة الخارجية.</t>
    </r>
  </si>
  <si>
    <r>
      <t>6.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لوحات العرض.</t>
    </r>
  </si>
  <si>
    <t>فحص الآلية أثناء السير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</si>
  <si>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السير على الطريق.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</si>
  <si>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صلاحية أنظمة الآلية (الميكانيكية والكهربائية).</t>
    </r>
  </si>
  <si>
    <r>
      <t>3.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نظام التكييف / نظام التهوية.</t>
    </r>
  </si>
  <si>
    <t>المهمـات الإضافية</t>
  </si>
  <si>
    <r>
      <t>1.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مستــودع الـعــــدة وأغطيـــة التمويه وأعمدة التثبيت.</t>
    </r>
  </si>
  <si>
    <r>
      <t>2.</t>
    </r>
    <r>
      <rPr>
        <sz val="7"/>
        <color rgb="FF000000"/>
        <rFont val="Times New Roman"/>
        <family val="1"/>
      </rPr>
      <t xml:space="preserve">        </t>
    </r>
    <r>
      <rPr>
        <sz val="12"/>
        <color rgb="FF000000"/>
        <rFont val="Times New Roman"/>
        <family val="1"/>
      </rPr>
      <t>مستودع قطع الغيار.</t>
    </r>
  </si>
  <si>
    <t>مدى توفر المواقف المغطاة المخصصة للآليات ونظافتها ووجود وصلاحية طفايات الحريق بها.</t>
  </si>
  <si>
    <t>تقييم الحالة الفنية للآليات (ب)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</si>
</sst>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21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FF0000"/>
      <name val="Arial"/>
      <family val="2"/>
    </font>
    <font>
      <b/>
      <u/>
      <sz val="12"/>
      <color theme="1"/>
      <name val="Arial"/>
      <family val="2"/>
    </font>
    <font>
      <sz val="7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sz val="7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0" fillId="0" borderId="4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2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7" fillId="0" borderId="23" xfId="0" applyFont="1" applyBorder="1" applyAlignment="1">
      <alignment horizontal="right" vertical="center" wrapText="1" readingOrder="2"/>
    </xf>
    <xf numFmtId="0" fontId="17" fillId="0" borderId="3" xfId="0" applyFont="1" applyBorder="1" applyAlignment="1">
      <alignment horizontal="right" vertical="center" wrapText="1" readingOrder="2"/>
    </xf>
    <xf numFmtId="0" fontId="17" fillId="0" borderId="11" xfId="0" applyFont="1" applyBorder="1" applyAlignment="1">
      <alignment horizontal="right" vertical="center" wrapText="1" readingOrder="2"/>
    </xf>
    <xf numFmtId="0" fontId="17" fillId="0" borderId="12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4" fillId="0" borderId="5" xfId="0" applyFont="1" applyBorder="1" applyAlignment="1">
      <alignment horizontal="right" vertical="center" wrapText="1" readingOrder="2"/>
    </xf>
    <xf numFmtId="0" fontId="14" fillId="0" borderId="4" xfId="0" applyFont="1" applyBorder="1" applyAlignment="1">
      <alignment horizontal="right" vertical="center" wrapText="1" readingOrder="2"/>
    </xf>
    <xf numFmtId="0" fontId="12" fillId="0" borderId="11" xfId="0" applyFont="1" applyBorder="1" applyAlignment="1">
      <alignment horizontal="right" vertical="center" wrapText="1" readingOrder="2"/>
    </xf>
    <xf numFmtId="0" fontId="12" fillId="0" borderId="12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133023</xdr:colOff>
      <xdr:row>63</xdr:row>
      <xdr:rowOff>220835</xdr:rowOff>
    </xdr:from>
    <xdr:to>
      <xdr:col>7</xdr:col>
      <xdr:colOff>613623</xdr:colOff>
      <xdr:row>63</xdr:row>
      <xdr:rowOff>365555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32B21D5-8B96-3E0A-7142-931AD2823B20}"/>
                </a:ext>
              </a:extLst>
            </xdr14:cNvPr>
            <xdr14:cNvContentPartPr/>
          </xdr14:nvContentPartPr>
          <xdr14:nvPr macro=""/>
          <xdr14:xfrm>
            <a:off x="10423743600" y="24994800"/>
            <a:ext cx="480600" cy="14472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C32B21D5-8B96-3E0A-7142-931AD2823B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734960" y="24985800"/>
              <a:ext cx="49824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437583</xdr:colOff>
      <xdr:row>63</xdr:row>
      <xdr:rowOff>112835</xdr:rowOff>
    </xdr:from>
    <xdr:to>
      <xdr:col>8</xdr:col>
      <xdr:colOff>581640</xdr:colOff>
      <xdr:row>63</xdr:row>
      <xdr:rowOff>532235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D819372B-F4DF-4FB5-EB15-FA7681322AAB}"/>
                </a:ext>
              </a:extLst>
            </xdr14:cNvPr>
            <xdr14:cNvContentPartPr/>
          </xdr14:nvContentPartPr>
          <xdr14:nvPr macro=""/>
          <xdr14:xfrm>
            <a:off x="10423121160" y="24886800"/>
            <a:ext cx="798480" cy="4194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D819372B-F4DF-4FB5-EB15-FA7681322AAB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112160" y="24877800"/>
              <a:ext cx="816120" cy="437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1:06.5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672 58 2488,'0'0'0,"0"0"0,0 0 960,0 0 345,0 0-145,0 0-480,0-3-336,0 3-344,0 0 56,0 0-200,0 0-40,0 0-184,2-2-96,2 2-24,-2-3-40,-2 3 528,4 0-401,-1-2 161,1 0 112,-1-1 88,7 3 96,-10 0 32,0 0-88,3 0 184,1-2 96,0 2 9,-2-3-1,1 3-32,-1 0-72,-2 0-184,2 0 168,1 0-80,-1 0 0,2-2-8,-2 2-24,1 0 40,-3 0-96,3 0 40,-1-2-16,2 2 0,0 0 8,-1-3-8,1 3 0,-4 0-24,9 0 16,-6 0-8,1 0-8,5-2 0,-7 2 0,8 0 0,-10 0 0,4-3 0,9 3 8,-4-2 8,2 0-16,-1 2 8,2-3 8,-12 3-16,11 0 16,-1-2-8,2 2 8,-1 0-24,1-3 16,1 3 0,-13 0-8,13-2 8,1 2-8,-1-2-8,1 2 8,1 0-8,-2-3 8,-13 3 0,15 0 8,0 0 8,-1-2 0,0 2 8,0 0 16,-2-3-8,-12 3-32,12 0 32,0 0 0,0 0 8,-2-2-8,2 2 16,-1 0 0,-11 0-48,10 0 64,1 0 24,-1 0 0,0 0 0,1 1-16,-1 0-16,-10-1-56,10 3 40,0-1-24,-1 1 16,-5-1 0,8 2 0,-9-1-16,-3-3-16,12 4 0,-8-1 8,6 2-24,-8-1 16,8 1-8,-8-1 0,-2-4 8,4 5 0,-1-1-8,1-1-8,-1 1 16,1 0-8,0 0 16,-4-4-8,2 5 32,0 0 24,-2 0-8,0-2 24,0 1 8,0-1-16,0-3-64,0 4 104,0 0 24,0-1 0,-1 2 8,-2 0 0,-1 0-8,4-5-128,-4 9 144,-1-5 24,-4-1-24,5 7-16,-8-6-16,2 6-56,10-10-56,-12 5 0,-2 7 0,-1-8-16,-1 9-24,-2-8 0,1 8-48,17-13 88,-18 5-160,-1 7 0,-1-7-24,0 6 16,-3-6 32,-1 7 8,24-12 128,-25 10-208,-3-5 24,1 5-16,-2-5-56,0 7 24,-1-2-96,30-10 328,-30 9-472,-2 1-64,-2 0-96,-1-6-49,1 8 81,-2-2 16,36-10 584,-36 4-512,-1 6 96,1-6 104,-1 1 128,1-1 112,0 0 40,36-4 32,-34 2-24,2-2 8,-1 0 0,4 0 24,-2-3 8,2-1-16,29 4 0,-29-10 0,0 6 0,1-10-16,3 3 8,0 0-8,2 1-8,23 10 24,-22-12-8,-1-1 0,0 0-8,0-1 24,2-2-32,2 0-1480,19 16 1504,0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7T07:21:08.1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1486 411 1704,'0'0'0,"-17"-10"48,0 6 0,-5-10 16,1 10-16,21 4-48,-16-3 48,-1-7 24,1 10 0,0-4 56,0 1 8,0-1 16,16 4-152,-15-3 176,2-7-24,0 8 40,-1-2 24,2 0-56,0-5 112,12 9-272,-11-3 328,2 0 64,4-8 145,-6 9 23,9-8 8,-2 8 24,1-8-152,3 10-440,-4-4 288,2 1-96,1-8-144,1 7-64,0-5-72,0 5-64,0 4 152,2-11-192,0 8-56,1-9-48,-1 2-72,2 7-64,7-9 0,-11 12 432,2-10-440,10 8 23,-2-11 57,0 9 0,2-9 40,0 9 48,-12 4 272,13-12-272,2 10 104,-1-9 24,2 9 40,-1-8 40,5 6 16,-20 4 48,19-9-16,2 5-8,2-5 24,1 6-48,0-7-24,0 6 24,-24 4 48,24-10-88,0 8 48,1-9 16,-1 9-8,0-2 16,0 1 8,-24 3 8,24-4-16,0 0 16,1 1 8,-1-1 8,0 1-8,1-1 8,-25 4-16,23-4 8,0 2-16,-2 0 16,0-1-16,-1 1 0,-1-1 8,-19 3 0,21 0-8,-2 0 16,0 0-8,1 0 0,0 0-8,-2 0 0,-18 0 8,14 2 0,0-1-16,-1 2 16,1 0 0,-2 0-8,1 1 8,-13-4 0,11 4 0,-2-1 8,2 7-8,-1-7 0,-1 2-8,-5 7-8,-4-12 16,12 5 0,-9 7 0,8-2 0,-8-1-8,6 2 8,-7-2 0,-2-9 0,4 12 0,0-1 0,-1 2-8,1-1 0,-2 2 8,-2 0 0,0-14 0,0 14 16,0 0-16,-2 0 8,-2 0 0,1 1-8,-8-1 16,11-14-16,-4 14 32,-9 1 8,4-1 16,-4 2 0,0-3 8,0-1 8,-2 1-8,-2-1 8,0-1-16,-2 1 8,0-1 0,0 1 8,19-12-72,-22 10 56,0 1-8,0 0-8,-1 0 8,0 0 0,-1-1 16,24-10-64,-24 12 48,0 0 0,-2 0-32,-2 1 0,-1-1-8,1 0 8,28-12-16,-32 11 16,1 1-16,-1-1 24,0 1 8,-3 0 0,-2 1 16,37-13-48,-39 13 40,0 1 0,-2-1-8,-1 0 0,0 0 0,42-13-32,-45 16 24,-2-1-16,0 1 8,-1-1-32,1-1 16,1 0 0,46-14 0,-48 14-8,1 0 0,1 0-8,1 0 32,2-1 0,0-1 0,43-12-16,-42 12 32,1-1-32,4 0 8,3-1 0,2-7 0,2 9 0,30-12-8,-29 4 16,2 7-24,0-8-56,1 2-136,2-1-272,1-1 0,23-3 472,-19 3-416,2-2 120,2-1 208,0-3-1448,15 3 1536</inkml:trace>
  <inkml:trace contextRef="#ctx0" brushRef="#br0" timeOffset="1">1713 379 4328,'0'0'0,"-3"0"2505,0 0 272,3 0-2777,-11 0 1576,7 0-904,-7 0-576,8 0-136,-9 0-24,7 0-128,5 0 192,-12 0-264,3 0-8,-2 4-32,1-1 56,-2 1 216,-2-1 0,14-3 32,-16 4 16,-2 1 40,-3 4-160,-2-6 176,-2 6-144,-3-4 32,28-5 40,-28 13 0,-3-3-112,0 0 88,-1 0 16,-1 2-32,-3 0 8,36-12 32,-38 14-8,0-1-80,0 0 16,2 0-16,0 0 0,1-2 32,35-11 56,-34 11-72,2 0-80,0-2-161,2 1-175,1-1-264,4-5-192,25-4 944,-23 11-1192,4-8-177,0 7 129,2-9 376,2 0 344,2 1 296,13-2 224,-9 0-56,5 0-1488,4 0 1544</inkml:trace>
  <inkml:trace contextRef="#ctx0" brushRef="#br0" timeOffset="2">1087 488 6617,'0'0'0,"-11"0"3233,-3 1-1185,-8 1-1296,-3 1-552,25-3-200,-24 5-40,-3 8-96,-1-2-96,-1 1-72,2 1-16,-2 0 24,29-13 296,-26 13-224,-1-1 72,-1-7 88,1 7 16,3-8 32,0-1 24,24-3-8,-21 4 8,1-2 32,4 1 8,0-2 0,4 0-8,0-1 0,12 0-40,-11 0 8,7 0-120,-7 0-200,8-2-336,0-1-369,-1 0-383,4 3 1400,-1-4-1520,0 1 168,1-1 255,0 2 377,0-1 304,0 3 184,0 0 232,0 0-56,0 0 120,0 0 128,0 0 48,-1 0 8,-2 0-56,3 0-192,-3 0 120,-1 1-56,-6 2-24,7 0-24,-12 1-32,4 1 8,11-5 8,-15 9-8,-5-4 0,-2 8 8,-2-2 0,-2 1 8,1-1 24,25-11-32,-26 12 88,1-1 128,1-2 160,-1-4 225,0 6 119,0-8 88,25-3-808,-24 5 808,2 0-72,1-1-56,0-2-48,3-1-103,2-1-49,16 0-480,-15 0 448,3-3-32,3-8-48,-2 8-32,1-7-48,5 6-56,5 4-232,-11-13 128,7 2-96,-6-1-160,7-1-96,-1-1-48,1-2-48,3 16 320,-4-16-296,1 1-48,2-1 40,0 2 32,1-1 88,0 2 136,0 13 48,0-12-24,0 3 64,2 5 8,1-8-64,-1 10-32,1-8-64,-3 10 112,2 0-304,2-3-121,-1 0-71,7 1-88,-6-1 32,5 3 56,-9 0 496,4 0-400,8 0 72,-9 2 112,9 0 24,-8 2 32,9 8 104,-13-12 56,4 4 32,9 10 16,-4-2 32,-5 1-24,7 1-64,-8 2 88,-3-16-80,4 15 40,6 3 40,-10 0 0,3 3-32,-1 1 8,1 1-8,-3-23-48,2 23 40,1 0-32,-1-1 56,1 1-8,-1 0-16,0 1 168,-2-24-208,4 23 272,0-2 96,5 2 160,-7-3 32,9 2 96,-7 0 121,-4-22-777,14 19 672,-3 1-40,1-2-24,0 0-80,2 0 200,2 1-24,-16-19-704,15 16 729,2 1 7,-1-4-120,3-4-64,1 1 56,2-5-72,-22-5-536,23 10 440,2-7-24,2 0-200,2 0-31,0-2 143,2-1-104,-31 0-224,34 0 248,1 0-80,3-4-216,0-6 96,4 7 56,-1-6-144,-41 9 40,41-4-64,1-7-440,-3 8-897,1-9-1063,0 8-1769,1-11-152,-41 15 4385,43-15-2993,4-2 1273,1-5-360,-48 22 2080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64"/>
  <sheetViews>
    <sheetView rightToLeft="1" tabSelected="1" view="pageBreakPreview" topLeftCell="A57" zoomScale="130" zoomScaleNormal="100" zoomScaleSheetLayoutView="130" workbookViewId="0">
      <selection activeCell="G64" sqref="G64:J64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4" t="s">
        <v>232</v>
      </c>
      <c r="C1" s="44"/>
      <c r="D1" s="44"/>
      <c r="E1" s="44"/>
      <c r="F1" s="44"/>
      <c r="G1" s="44"/>
      <c r="H1" s="44"/>
      <c r="I1" s="44"/>
      <c r="J1" s="44"/>
    </row>
    <row r="2" spans="1:10" ht="30" customHeight="1" x14ac:dyDescent="0.2">
      <c r="B2" s="13" t="s">
        <v>8</v>
      </c>
      <c r="C2" s="50" t="s">
        <v>36</v>
      </c>
      <c r="D2" s="50"/>
      <c r="E2" s="13" t="s">
        <v>7</v>
      </c>
      <c r="F2" s="45">
        <v>45932</v>
      </c>
      <c r="G2" s="45"/>
      <c r="H2" s="45"/>
      <c r="I2" s="45"/>
      <c r="J2" s="45"/>
    </row>
    <row r="3" spans="1:10" ht="30" customHeight="1" x14ac:dyDescent="0.2">
      <c r="B3" s="13" t="s">
        <v>9</v>
      </c>
      <c r="C3" s="50" t="s">
        <v>77</v>
      </c>
      <c r="D3" s="50"/>
      <c r="E3" s="13" t="s">
        <v>6</v>
      </c>
      <c r="F3" s="50" t="s">
        <v>92</v>
      </c>
      <c r="G3" s="50"/>
      <c r="H3" s="50"/>
      <c r="I3" s="50"/>
      <c r="J3" s="5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1"/>
      <c r="B5" s="46" t="s">
        <v>0</v>
      </c>
      <c r="C5" s="47"/>
      <c r="D5" s="47"/>
      <c r="E5" s="59" t="s">
        <v>1</v>
      </c>
      <c r="F5" s="59"/>
      <c r="G5" s="59"/>
      <c r="H5" s="59"/>
      <c r="I5" s="59" t="s">
        <v>2</v>
      </c>
      <c r="J5" s="62"/>
    </row>
    <row r="6" spans="1:10" ht="24.95" customHeight="1" thickBot="1" x14ac:dyDescent="0.25">
      <c r="A6" s="11"/>
      <c r="B6" s="48"/>
      <c r="C6" s="49"/>
      <c r="D6" s="49"/>
      <c r="E6" s="12" t="s">
        <v>3</v>
      </c>
      <c r="F6" s="12" t="s">
        <v>4</v>
      </c>
      <c r="G6" s="12" t="s">
        <v>23</v>
      </c>
      <c r="H6" s="12" t="s">
        <v>24</v>
      </c>
      <c r="I6" s="63"/>
      <c r="J6" s="64"/>
    </row>
    <row r="7" spans="1:10" ht="24.95" customHeight="1" thickBot="1" x14ac:dyDescent="0.25">
      <c r="A7" s="11"/>
      <c r="B7" s="53" t="s">
        <v>21</v>
      </c>
      <c r="C7" s="54"/>
      <c r="D7" s="54"/>
      <c r="E7" s="33" t="s">
        <v>18</v>
      </c>
      <c r="F7" s="33" t="s">
        <v>19</v>
      </c>
      <c r="G7" s="33" t="s">
        <v>22</v>
      </c>
      <c r="H7" s="33" t="s">
        <v>20</v>
      </c>
      <c r="I7" s="65" t="s">
        <v>25</v>
      </c>
      <c r="J7" s="66"/>
    </row>
    <row r="8" spans="1:10" ht="30" customHeight="1" x14ac:dyDescent="0.2">
      <c r="A8" s="11"/>
      <c r="B8" s="92" t="s">
        <v>180</v>
      </c>
      <c r="C8" s="93"/>
      <c r="D8" s="93"/>
      <c r="E8" s="30"/>
      <c r="F8" s="37"/>
      <c r="G8" s="38"/>
      <c r="H8" s="39"/>
      <c r="I8" s="60"/>
      <c r="J8" s="61"/>
    </row>
    <row r="9" spans="1:10" ht="30" customHeight="1" x14ac:dyDescent="0.2">
      <c r="A9" s="11"/>
      <c r="B9" s="84" t="s">
        <v>181</v>
      </c>
      <c r="C9" s="85"/>
      <c r="D9" s="85"/>
      <c r="E9" s="31">
        <v>10</v>
      </c>
      <c r="F9" s="27">
        <v>8.75</v>
      </c>
      <c r="G9" s="35">
        <f>IFERROR(F9/E9,"")</f>
        <v>0.875</v>
      </c>
      <c r="H9" s="36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5"/>
      <c r="J9" s="56"/>
    </row>
    <row r="10" spans="1:10" ht="30" customHeight="1" x14ac:dyDescent="0.2">
      <c r="A10" s="11"/>
      <c r="B10" s="84" t="s">
        <v>182</v>
      </c>
      <c r="C10" s="85"/>
      <c r="D10" s="85"/>
      <c r="E10" s="9">
        <v>10</v>
      </c>
      <c r="F10" s="27">
        <v>8.75</v>
      </c>
      <c r="G10" s="35">
        <f t="shared" ref="G10:G59" si="0">IFERROR(F10/E10,"")</f>
        <v>0.875</v>
      </c>
      <c r="H10" s="36" t="str">
        <f t="shared" ref="H10:H59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5"/>
      <c r="J10" s="56"/>
    </row>
    <row r="11" spans="1:10" ht="39.950000000000003" customHeight="1" x14ac:dyDescent="0.2">
      <c r="A11" s="11"/>
      <c r="B11" s="84" t="s">
        <v>183</v>
      </c>
      <c r="C11" s="85"/>
      <c r="D11" s="85"/>
      <c r="E11" s="9">
        <v>8</v>
      </c>
      <c r="F11" s="27">
        <v>7</v>
      </c>
      <c r="G11" s="35">
        <f t="shared" si="0"/>
        <v>0.875</v>
      </c>
      <c r="H11" s="36" t="str">
        <f t="shared" si="1"/>
        <v>جيد جداً</v>
      </c>
      <c r="I11" s="55"/>
      <c r="J11" s="56"/>
    </row>
    <row r="12" spans="1:10" ht="30" customHeight="1" x14ac:dyDescent="0.2">
      <c r="A12" s="11"/>
      <c r="B12" s="84" t="s">
        <v>184</v>
      </c>
      <c r="C12" s="85"/>
      <c r="D12" s="85"/>
      <c r="E12" s="9">
        <v>8</v>
      </c>
      <c r="F12" s="27">
        <v>7</v>
      </c>
      <c r="G12" s="35">
        <f t="shared" si="0"/>
        <v>0.875</v>
      </c>
      <c r="H12" s="36" t="str">
        <f t="shared" si="1"/>
        <v>جيد جداً</v>
      </c>
      <c r="I12" s="55"/>
      <c r="J12" s="56"/>
    </row>
    <row r="13" spans="1:10" ht="30" customHeight="1" x14ac:dyDescent="0.2">
      <c r="A13" s="11"/>
      <c r="B13" s="84" t="s">
        <v>185</v>
      </c>
      <c r="C13" s="85"/>
      <c r="D13" s="85"/>
      <c r="E13" s="9">
        <v>5</v>
      </c>
      <c r="F13" s="27">
        <v>4.25</v>
      </c>
      <c r="G13" s="35">
        <f t="shared" si="0"/>
        <v>0.85</v>
      </c>
      <c r="H13" s="36" t="str">
        <f t="shared" si="1"/>
        <v>جيد جداً</v>
      </c>
      <c r="I13" s="55"/>
      <c r="J13" s="56"/>
    </row>
    <row r="14" spans="1:10" ht="30" customHeight="1" x14ac:dyDescent="0.2">
      <c r="A14" s="11"/>
      <c r="B14" s="84" t="s">
        <v>186</v>
      </c>
      <c r="C14" s="85"/>
      <c r="D14" s="85"/>
      <c r="E14" s="9">
        <v>8</v>
      </c>
      <c r="F14" s="27">
        <v>7</v>
      </c>
      <c r="G14" s="35">
        <f t="shared" si="0"/>
        <v>0.875</v>
      </c>
      <c r="H14" s="36" t="str">
        <f t="shared" si="1"/>
        <v>جيد جداً</v>
      </c>
      <c r="I14" s="55"/>
      <c r="J14" s="56"/>
    </row>
    <row r="15" spans="1:10" ht="30" customHeight="1" x14ac:dyDescent="0.2">
      <c r="A15" s="11"/>
      <c r="B15" s="84" t="s">
        <v>187</v>
      </c>
      <c r="C15" s="85"/>
      <c r="D15" s="85"/>
      <c r="E15" s="9">
        <v>7</v>
      </c>
      <c r="F15" s="27">
        <v>5.75</v>
      </c>
      <c r="G15" s="35">
        <f t="shared" si="0"/>
        <v>0.8214285714285714</v>
      </c>
      <c r="H15" s="36" t="str">
        <f t="shared" si="1"/>
        <v>جيد جداً</v>
      </c>
      <c r="I15" s="55"/>
      <c r="J15" s="56"/>
    </row>
    <row r="16" spans="1:10" ht="30" customHeight="1" x14ac:dyDescent="0.2">
      <c r="A16" s="11"/>
      <c r="B16" s="84" t="s">
        <v>188</v>
      </c>
      <c r="C16" s="85"/>
      <c r="D16" s="85"/>
      <c r="E16" s="9">
        <v>8</v>
      </c>
      <c r="F16" s="27">
        <v>6.75</v>
      </c>
      <c r="G16" s="35">
        <f t="shared" si="0"/>
        <v>0.84375</v>
      </c>
      <c r="H16" s="36" t="str">
        <f t="shared" si="1"/>
        <v>جيد جداً</v>
      </c>
      <c r="I16" s="55"/>
      <c r="J16" s="56"/>
    </row>
    <row r="17" spans="1:10" ht="39.950000000000003" customHeight="1" x14ac:dyDescent="0.2">
      <c r="A17" s="11"/>
      <c r="B17" s="84" t="s">
        <v>189</v>
      </c>
      <c r="C17" s="85"/>
      <c r="D17" s="85"/>
      <c r="E17" s="9">
        <v>5</v>
      </c>
      <c r="F17" s="27">
        <v>4.25</v>
      </c>
      <c r="G17" s="35">
        <f t="shared" si="0"/>
        <v>0.85</v>
      </c>
      <c r="H17" s="36" t="str">
        <f t="shared" si="1"/>
        <v>جيد جداً</v>
      </c>
      <c r="I17" s="55"/>
      <c r="J17" s="56"/>
    </row>
    <row r="18" spans="1:10" ht="30" customHeight="1" x14ac:dyDescent="0.2">
      <c r="A18" s="11"/>
      <c r="B18" s="86" t="s">
        <v>190</v>
      </c>
      <c r="C18" s="87"/>
      <c r="D18" s="87"/>
      <c r="E18" s="9">
        <v>5</v>
      </c>
      <c r="F18" s="27">
        <v>4.25</v>
      </c>
      <c r="G18" s="35">
        <f t="shared" si="0"/>
        <v>0.85</v>
      </c>
      <c r="H18" s="36" t="str">
        <f t="shared" si="1"/>
        <v>جيد جداً</v>
      </c>
      <c r="I18" s="55"/>
      <c r="J18" s="56"/>
    </row>
    <row r="19" spans="1:10" ht="30" customHeight="1" x14ac:dyDescent="0.2">
      <c r="A19" s="11"/>
      <c r="B19" s="86" t="s">
        <v>191</v>
      </c>
      <c r="C19" s="87"/>
      <c r="D19" s="87"/>
      <c r="E19" s="9">
        <v>5</v>
      </c>
      <c r="F19" s="27">
        <v>4.25</v>
      </c>
      <c r="G19" s="35">
        <f t="shared" si="0"/>
        <v>0.85</v>
      </c>
      <c r="H19" s="36" t="str">
        <f t="shared" si="1"/>
        <v>جيد جداً</v>
      </c>
      <c r="I19" s="55"/>
      <c r="J19" s="56"/>
    </row>
    <row r="20" spans="1:10" ht="39.950000000000003" customHeight="1" x14ac:dyDescent="0.2">
      <c r="A20" s="11"/>
      <c r="B20" s="86" t="s">
        <v>192</v>
      </c>
      <c r="C20" s="87"/>
      <c r="D20" s="87"/>
      <c r="E20" s="9">
        <v>10</v>
      </c>
      <c r="F20" s="27">
        <v>8.75</v>
      </c>
      <c r="G20" s="35">
        <f t="shared" si="0"/>
        <v>0.875</v>
      </c>
      <c r="H20" s="36" t="str">
        <f t="shared" si="1"/>
        <v>جيد جداً</v>
      </c>
      <c r="I20" s="55"/>
      <c r="J20" s="56"/>
    </row>
    <row r="21" spans="1:10" ht="30" customHeight="1" x14ac:dyDescent="0.2">
      <c r="A21" s="11"/>
      <c r="B21" s="86" t="s">
        <v>193</v>
      </c>
      <c r="C21" s="87"/>
      <c r="D21" s="87"/>
      <c r="E21" s="9">
        <v>5</v>
      </c>
      <c r="F21" s="27">
        <v>3.75</v>
      </c>
      <c r="G21" s="35">
        <f t="shared" si="0"/>
        <v>0.75</v>
      </c>
      <c r="H21" s="36" t="str">
        <f t="shared" si="1"/>
        <v>جيد</v>
      </c>
      <c r="I21" s="55"/>
      <c r="J21" s="56"/>
    </row>
    <row r="22" spans="1:10" ht="30" customHeight="1" x14ac:dyDescent="0.2">
      <c r="A22" s="11"/>
      <c r="B22" s="86" t="s">
        <v>194</v>
      </c>
      <c r="C22" s="87"/>
      <c r="D22" s="87"/>
      <c r="E22" s="9">
        <v>5</v>
      </c>
      <c r="F22" s="27">
        <v>3.75</v>
      </c>
      <c r="G22" s="35">
        <f t="shared" si="0"/>
        <v>0.75</v>
      </c>
      <c r="H22" s="36" t="str">
        <f t="shared" si="1"/>
        <v>جيد</v>
      </c>
      <c r="I22" s="55"/>
      <c r="J22" s="56"/>
    </row>
    <row r="23" spans="1:10" ht="30" customHeight="1" thickBot="1" x14ac:dyDescent="0.25">
      <c r="A23" s="11"/>
      <c r="B23" s="88" t="s">
        <v>195</v>
      </c>
      <c r="C23" s="89"/>
      <c r="D23" s="89"/>
      <c r="E23" s="32">
        <v>5</v>
      </c>
      <c r="F23" s="29">
        <v>3.75</v>
      </c>
      <c r="G23" s="40">
        <f t="shared" si="0"/>
        <v>0.75</v>
      </c>
      <c r="H23" s="41" t="str">
        <f t="shared" si="1"/>
        <v>جيد</v>
      </c>
      <c r="I23" s="57"/>
      <c r="J23" s="58"/>
    </row>
    <row r="24" spans="1:10" ht="30" customHeight="1" x14ac:dyDescent="0.2">
      <c r="A24" s="11"/>
      <c r="B24" s="90" t="s">
        <v>196</v>
      </c>
      <c r="C24" s="91"/>
      <c r="D24" s="91"/>
      <c r="E24" s="30"/>
      <c r="F24" s="37"/>
      <c r="G24" s="38"/>
      <c r="H24" s="39"/>
      <c r="I24" s="60"/>
      <c r="J24" s="61"/>
    </row>
    <row r="25" spans="1:10" ht="30" customHeight="1" x14ac:dyDescent="0.2">
      <c r="A25" s="11"/>
      <c r="B25" s="84" t="s">
        <v>197</v>
      </c>
      <c r="C25" s="85"/>
      <c r="D25" s="85"/>
      <c r="E25" s="9">
        <v>6</v>
      </c>
      <c r="F25" s="27">
        <v>4.25</v>
      </c>
      <c r="G25" s="35">
        <f t="shared" si="0"/>
        <v>0.70833333333333337</v>
      </c>
      <c r="H25" s="36" t="str">
        <f t="shared" si="1"/>
        <v>جيد</v>
      </c>
      <c r="I25" s="55"/>
      <c r="J25" s="56"/>
    </row>
    <row r="26" spans="1:10" ht="30" customHeight="1" x14ac:dyDescent="0.2">
      <c r="A26" s="11"/>
      <c r="B26" s="84" t="s">
        <v>198</v>
      </c>
      <c r="C26" s="85"/>
      <c r="D26" s="85"/>
      <c r="E26" s="9">
        <v>5</v>
      </c>
      <c r="F26" s="27">
        <v>3</v>
      </c>
      <c r="G26" s="35">
        <f t="shared" si="0"/>
        <v>0.6</v>
      </c>
      <c r="H26" s="36" t="str">
        <f t="shared" si="1"/>
        <v>مقبول</v>
      </c>
      <c r="I26" s="55"/>
      <c r="J26" s="56"/>
    </row>
    <row r="27" spans="1:10" ht="30" customHeight="1" x14ac:dyDescent="0.2">
      <c r="A27" s="11"/>
      <c r="B27" s="84" t="s">
        <v>199</v>
      </c>
      <c r="C27" s="85"/>
      <c r="D27" s="85"/>
      <c r="E27" s="9">
        <v>5</v>
      </c>
      <c r="F27" s="27">
        <v>4.25</v>
      </c>
      <c r="G27" s="35">
        <f t="shared" si="0"/>
        <v>0.85</v>
      </c>
      <c r="H27" s="36" t="str">
        <f t="shared" si="1"/>
        <v>جيد جداً</v>
      </c>
      <c r="I27" s="55"/>
      <c r="J27" s="56"/>
    </row>
    <row r="28" spans="1:10" ht="30" customHeight="1" x14ac:dyDescent="0.2">
      <c r="A28" s="11"/>
      <c r="B28" s="84" t="s">
        <v>200</v>
      </c>
      <c r="C28" s="85"/>
      <c r="D28" s="85"/>
      <c r="E28" s="9">
        <v>5</v>
      </c>
      <c r="F28" s="27">
        <v>4</v>
      </c>
      <c r="G28" s="35">
        <f t="shared" si="0"/>
        <v>0.8</v>
      </c>
      <c r="H28" s="36" t="str">
        <f t="shared" si="1"/>
        <v>جيد جداً</v>
      </c>
      <c r="I28" s="55"/>
      <c r="J28" s="56"/>
    </row>
    <row r="29" spans="1:10" ht="30" customHeight="1" x14ac:dyDescent="0.2">
      <c r="A29" s="11"/>
      <c r="B29" s="84" t="s">
        <v>201</v>
      </c>
      <c r="C29" s="85"/>
      <c r="D29" s="85"/>
      <c r="E29" s="9">
        <v>5</v>
      </c>
      <c r="F29" s="27">
        <v>3.75</v>
      </c>
      <c r="G29" s="35">
        <f t="shared" si="0"/>
        <v>0.75</v>
      </c>
      <c r="H29" s="36" t="str">
        <f t="shared" si="1"/>
        <v>جيد</v>
      </c>
      <c r="I29" s="55"/>
      <c r="J29" s="56"/>
    </row>
    <row r="30" spans="1:10" ht="30" customHeight="1" x14ac:dyDescent="0.2">
      <c r="A30" s="11"/>
      <c r="B30" s="84" t="s">
        <v>202</v>
      </c>
      <c r="C30" s="85"/>
      <c r="D30" s="85"/>
      <c r="E30" s="9">
        <v>5</v>
      </c>
      <c r="F30" s="27">
        <v>3.75</v>
      </c>
      <c r="G30" s="35">
        <f t="shared" si="0"/>
        <v>0.75</v>
      </c>
      <c r="H30" s="36" t="str">
        <f t="shared" si="1"/>
        <v>جيد</v>
      </c>
      <c r="I30" s="55"/>
      <c r="J30" s="56"/>
    </row>
    <row r="31" spans="1:10" ht="30" customHeight="1" thickBot="1" x14ac:dyDescent="0.25">
      <c r="A31" s="11"/>
      <c r="B31" s="94" t="s">
        <v>203</v>
      </c>
      <c r="C31" s="95"/>
      <c r="D31" s="95"/>
      <c r="E31" s="32">
        <v>5</v>
      </c>
      <c r="F31" s="29">
        <v>4.25</v>
      </c>
      <c r="G31" s="40">
        <f t="shared" si="0"/>
        <v>0.85</v>
      </c>
      <c r="H31" s="41" t="str">
        <f t="shared" si="1"/>
        <v>جيد جداً</v>
      </c>
      <c r="I31" s="57"/>
      <c r="J31" s="58"/>
    </row>
    <row r="32" spans="1:10" ht="30" customHeight="1" x14ac:dyDescent="0.2">
      <c r="A32" s="11"/>
      <c r="B32" s="90" t="s">
        <v>204</v>
      </c>
      <c r="C32" s="91"/>
      <c r="D32" s="91"/>
      <c r="E32" s="30"/>
      <c r="F32" s="37"/>
      <c r="G32" s="38"/>
      <c r="H32" s="39"/>
      <c r="I32" s="60"/>
      <c r="J32" s="61"/>
    </row>
    <row r="33" spans="1:10" ht="39.950000000000003" customHeight="1" x14ac:dyDescent="0.2">
      <c r="A33" s="11"/>
      <c r="B33" s="84" t="s">
        <v>205</v>
      </c>
      <c r="C33" s="85"/>
      <c r="D33" s="85"/>
      <c r="E33" s="31">
        <v>6</v>
      </c>
      <c r="F33" s="27">
        <v>4.75</v>
      </c>
      <c r="G33" s="35">
        <f t="shared" si="0"/>
        <v>0.79166666666666663</v>
      </c>
      <c r="H33" s="36" t="str">
        <f t="shared" si="1"/>
        <v>جيد</v>
      </c>
      <c r="I33" s="55"/>
      <c r="J33" s="56"/>
    </row>
    <row r="34" spans="1:10" ht="30" customHeight="1" x14ac:dyDescent="0.2">
      <c r="A34" s="11"/>
      <c r="B34" s="84" t="s">
        <v>206</v>
      </c>
      <c r="C34" s="85"/>
      <c r="D34" s="85"/>
      <c r="E34" s="9">
        <v>5</v>
      </c>
      <c r="F34" s="27">
        <v>4.25</v>
      </c>
      <c r="G34" s="35">
        <f t="shared" si="0"/>
        <v>0.85</v>
      </c>
      <c r="H34" s="36" t="str">
        <f t="shared" si="1"/>
        <v>جيد جداً</v>
      </c>
      <c r="I34" s="55"/>
      <c r="J34" s="56"/>
    </row>
    <row r="35" spans="1:10" ht="30" customHeight="1" x14ac:dyDescent="0.2">
      <c r="A35" s="11"/>
      <c r="B35" s="84" t="s">
        <v>207</v>
      </c>
      <c r="C35" s="85"/>
      <c r="D35" s="85"/>
      <c r="E35" s="9">
        <v>5</v>
      </c>
      <c r="F35" s="27">
        <v>4.25</v>
      </c>
      <c r="G35" s="35">
        <f t="shared" si="0"/>
        <v>0.85</v>
      </c>
      <c r="H35" s="36" t="str">
        <f t="shared" si="1"/>
        <v>جيد جداً</v>
      </c>
      <c r="I35" s="55"/>
      <c r="J35" s="56"/>
    </row>
    <row r="36" spans="1:10" ht="30" customHeight="1" thickBot="1" x14ac:dyDescent="0.25">
      <c r="A36" s="11"/>
      <c r="B36" s="94" t="s">
        <v>208</v>
      </c>
      <c r="C36" s="95"/>
      <c r="D36" s="95"/>
      <c r="E36" s="32">
        <v>5</v>
      </c>
      <c r="F36" s="29">
        <v>3.75</v>
      </c>
      <c r="G36" s="40">
        <f t="shared" si="0"/>
        <v>0.75</v>
      </c>
      <c r="H36" s="41" t="str">
        <f t="shared" si="1"/>
        <v>جيد</v>
      </c>
      <c r="I36" s="57"/>
      <c r="J36" s="58"/>
    </row>
    <row r="37" spans="1:10" ht="30" customHeight="1" x14ac:dyDescent="0.2">
      <c r="A37" s="11"/>
      <c r="B37" s="92" t="s">
        <v>209</v>
      </c>
      <c r="C37" s="93"/>
      <c r="D37" s="93"/>
      <c r="E37" s="30"/>
      <c r="F37" s="37"/>
      <c r="G37" s="38"/>
      <c r="H37" s="39"/>
      <c r="I37" s="60"/>
      <c r="J37" s="61"/>
    </row>
    <row r="38" spans="1:10" ht="30" customHeight="1" x14ac:dyDescent="0.2">
      <c r="A38" s="11"/>
      <c r="B38" s="84" t="s">
        <v>210</v>
      </c>
      <c r="C38" s="85"/>
      <c r="D38" s="85"/>
      <c r="E38" s="9">
        <v>6</v>
      </c>
      <c r="F38" s="27">
        <v>5</v>
      </c>
      <c r="G38" s="35">
        <f t="shared" si="0"/>
        <v>0.83333333333333337</v>
      </c>
      <c r="H38" s="36" t="str">
        <f t="shared" si="1"/>
        <v>جيد جداً</v>
      </c>
      <c r="I38" s="55"/>
      <c r="J38" s="56"/>
    </row>
    <row r="39" spans="1:10" ht="30" customHeight="1" x14ac:dyDescent="0.2">
      <c r="A39" s="11"/>
      <c r="B39" s="84" t="s">
        <v>211</v>
      </c>
      <c r="C39" s="85"/>
      <c r="D39" s="85"/>
      <c r="E39" s="9">
        <v>5</v>
      </c>
      <c r="F39" s="27">
        <v>4.25</v>
      </c>
      <c r="G39" s="35">
        <f t="shared" si="0"/>
        <v>0.85</v>
      </c>
      <c r="H39" s="36" t="str">
        <f t="shared" si="1"/>
        <v>جيد جداً</v>
      </c>
      <c r="I39" s="55"/>
      <c r="J39" s="56"/>
    </row>
    <row r="40" spans="1:10" ht="30" customHeight="1" x14ac:dyDescent="0.2">
      <c r="A40" s="11"/>
      <c r="B40" s="84" t="s">
        <v>212</v>
      </c>
      <c r="C40" s="85"/>
      <c r="D40" s="85"/>
      <c r="E40" s="9">
        <v>5</v>
      </c>
      <c r="F40" s="27">
        <v>4</v>
      </c>
      <c r="G40" s="35">
        <f t="shared" si="0"/>
        <v>0.8</v>
      </c>
      <c r="H40" s="36" t="str">
        <f t="shared" si="1"/>
        <v>جيد جداً</v>
      </c>
      <c r="I40" s="55"/>
      <c r="J40" s="56"/>
    </row>
    <row r="41" spans="1:10" ht="30" customHeight="1" x14ac:dyDescent="0.2">
      <c r="A41" s="11"/>
      <c r="B41" s="84" t="s">
        <v>213</v>
      </c>
      <c r="C41" s="85"/>
      <c r="D41" s="85"/>
      <c r="E41" s="9">
        <v>5</v>
      </c>
      <c r="F41" s="27">
        <v>4.25</v>
      </c>
      <c r="G41" s="35">
        <f t="shared" si="0"/>
        <v>0.85</v>
      </c>
      <c r="H41" s="36" t="str">
        <f t="shared" si="1"/>
        <v>جيد جداً</v>
      </c>
      <c r="I41" s="55"/>
      <c r="J41" s="56"/>
    </row>
    <row r="42" spans="1:10" ht="30" customHeight="1" x14ac:dyDescent="0.2">
      <c r="A42" s="11"/>
      <c r="B42" s="84" t="s">
        <v>214</v>
      </c>
      <c r="C42" s="85"/>
      <c r="D42" s="85"/>
      <c r="E42" s="9">
        <v>5</v>
      </c>
      <c r="F42" s="27">
        <v>4.25</v>
      </c>
      <c r="G42" s="35">
        <f t="shared" si="0"/>
        <v>0.85</v>
      </c>
      <c r="H42" s="36" t="str">
        <f t="shared" si="1"/>
        <v>جيد جداً</v>
      </c>
      <c r="I42" s="55"/>
      <c r="J42" s="56"/>
    </row>
    <row r="43" spans="1:10" ht="30" customHeight="1" x14ac:dyDescent="0.2">
      <c r="A43" s="11"/>
      <c r="B43" s="84" t="s">
        <v>215</v>
      </c>
      <c r="C43" s="85"/>
      <c r="D43" s="85"/>
      <c r="E43" s="9">
        <v>5</v>
      </c>
      <c r="F43" s="27">
        <v>4.25</v>
      </c>
      <c r="G43" s="35">
        <f t="shared" si="0"/>
        <v>0.85</v>
      </c>
      <c r="H43" s="36" t="str">
        <f t="shared" si="1"/>
        <v>جيد جداً</v>
      </c>
      <c r="I43" s="55"/>
      <c r="J43" s="56"/>
    </row>
    <row r="44" spans="1:10" ht="30" customHeight="1" thickBot="1" x14ac:dyDescent="0.25">
      <c r="A44" s="11"/>
      <c r="B44" s="94" t="s">
        <v>216</v>
      </c>
      <c r="C44" s="95"/>
      <c r="D44" s="95"/>
      <c r="E44" s="32">
        <v>5</v>
      </c>
      <c r="F44" s="29">
        <v>4.25</v>
      </c>
      <c r="G44" s="40">
        <f t="shared" si="0"/>
        <v>0.85</v>
      </c>
      <c r="H44" s="41" t="str">
        <f t="shared" si="1"/>
        <v>جيد جداً</v>
      </c>
      <c r="I44" s="57"/>
      <c r="J44" s="58"/>
    </row>
    <row r="45" spans="1:10" ht="30" customHeight="1" x14ac:dyDescent="0.2">
      <c r="A45" s="11"/>
      <c r="B45" s="90" t="s">
        <v>217</v>
      </c>
      <c r="C45" s="91"/>
      <c r="D45" s="91"/>
      <c r="E45" s="30"/>
      <c r="F45" s="37"/>
      <c r="G45" s="38"/>
      <c r="H45" s="39"/>
      <c r="I45" s="60"/>
      <c r="J45" s="61"/>
    </row>
    <row r="46" spans="1:10" ht="30" customHeight="1" x14ac:dyDescent="0.2">
      <c r="A46" s="11"/>
      <c r="B46" s="84" t="s">
        <v>218</v>
      </c>
      <c r="C46" s="85"/>
      <c r="D46" s="85"/>
      <c r="E46" s="9">
        <v>5</v>
      </c>
      <c r="F46" s="27">
        <v>4.25</v>
      </c>
      <c r="G46" s="35">
        <f t="shared" si="0"/>
        <v>0.85</v>
      </c>
      <c r="H46" s="36" t="str">
        <f t="shared" si="1"/>
        <v>جيد جداً</v>
      </c>
      <c r="I46" s="55"/>
      <c r="J46" s="56"/>
    </row>
    <row r="47" spans="1:10" ht="30" customHeight="1" x14ac:dyDescent="0.2">
      <c r="A47" s="11"/>
      <c r="B47" s="84" t="s">
        <v>219</v>
      </c>
      <c r="C47" s="85"/>
      <c r="D47" s="85"/>
      <c r="E47" s="9">
        <v>8</v>
      </c>
      <c r="F47" s="27">
        <v>6.75</v>
      </c>
      <c r="G47" s="35">
        <f t="shared" si="0"/>
        <v>0.84375</v>
      </c>
      <c r="H47" s="36" t="str">
        <f t="shared" si="1"/>
        <v>جيد جداً</v>
      </c>
      <c r="I47" s="55"/>
      <c r="J47" s="56"/>
    </row>
    <row r="48" spans="1:10" ht="30" customHeight="1" x14ac:dyDescent="0.2">
      <c r="A48" s="11"/>
      <c r="B48" s="84" t="s">
        <v>220</v>
      </c>
      <c r="C48" s="85"/>
      <c r="D48" s="85"/>
      <c r="E48" s="9">
        <v>5</v>
      </c>
      <c r="F48" s="27">
        <v>3.75</v>
      </c>
      <c r="G48" s="35">
        <f t="shared" si="0"/>
        <v>0.75</v>
      </c>
      <c r="H48" s="36" t="str">
        <f t="shared" si="1"/>
        <v>جيد</v>
      </c>
      <c r="I48" s="55"/>
      <c r="J48" s="56"/>
    </row>
    <row r="49" spans="1:10" ht="30" customHeight="1" x14ac:dyDescent="0.2">
      <c r="A49" s="11"/>
      <c r="B49" s="84" t="s">
        <v>221</v>
      </c>
      <c r="C49" s="85"/>
      <c r="D49" s="85"/>
      <c r="E49" s="9">
        <v>5</v>
      </c>
      <c r="F49" s="27">
        <v>3.75</v>
      </c>
      <c r="G49" s="35">
        <f t="shared" si="0"/>
        <v>0.75</v>
      </c>
      <c r="H49" s="36" t="str">
        <f t="shared" si="1"/>
        <v>جيد</v>
      </c>
      <c r="I49" s="55"/>
      <c r="J49" s="56"/>
    </row>
    <row r="50" spans="1:10" ht="30" customHeight="1" x14ac:dyDescent="0.2">
      <c r="A50" s="11"/>
      <c r="B50" s="84" t="s">
        <v>222</v>
      </c>
      <c r="C50" s="85"/>
      <c r="D50" s="85"/>
      <c r="E50" s="9">
        <v>5</v>
      </c>
      <c r="F50" s="27">
        <v>3.5</v>
      </c>
      <c r="G50" s="35">
        <f t="shared" si="0"/>
        <v>0.7</v>
      </c>
      <c r="H50" s="36" t="str">
        <f t="shared" si="1"/>
        <v>جيد</v>
      </c>
      <c r="I50" s="55"/>
      <c r="J50" s="56"/>
    </row>
    <row r="51" spans="1:10" ht="30" customHeight="1" thickBot="1" x14ac:dyDescent="0.25">
      <c r="A51" s="11"/>
      <c r="B51" s="94" t="s">
        <v>223</v>
      </c>
      <c r="C51" s="95"/>
      <c r="D51" s="95"/>
      <c r="E51" s="32">
        <v>5</v>
      </c>
      <c r="F51" s="29">
        <v>4.25</v>
      </c>
      <c r="G51" s="40">
        <f t="shared" si="0"/>
        <v>0.85</v>
      </c>
      <c r="H51" s="41" t="str">
        <f t="shared" si="1"/>
        <v>جيد جداً</v>
      </c>
      <c r="I51" s="57"/>
      <c r="J51" s="58"/>
    </row>
    <row r="52" spans="1:10" ht="30" customHeight="1" x14ac:dyDescent="0.2">
      <c r="A52" s="11"/>
      <c r="B52" s="92" t="s">
        <v>224</v>
      </c>
      <c r="C52" s="93"/>
      <c r="D52" s="93"/>
      <c r="E52" s="30"/>
      <c r="F52" s="37"/>
      <c r="G52" s="38"/>
      <c r="H52" s="39"/>
      <c r="I52" s="60"/>
      <c r="J52" s="61"/>
    </row>
    <row r="53" spans="1:10" ht="30" customHeight="1" x14ac:dyDescent="0.2">
      <c r="A53" s="11"/>
      <c r="B53" s="84" t="s">
        <v>225</v>
      </c>
      <c r="C53" s="85"/>
      <c r="D53" s="85"/>
      <c r="E53" s="9">
        <v>10</v>
      </c>
      <c r="F53" s="27">
        <v>8</v>
      </c>
      <c r="G53" s="35">
        <f t="shared" si="0"/>
        <v>0.8</v>
      </c>
      <c r="H53" s="36" t="str">
        <f t="shared" si="1"/>
        <v>جيد جداً</v>
      </c>
      <c r="I53" s="55"/>
      <c r="J53" s="56"/>
    </row>
    <row r="54" spans="1:10" ht="30" customHeight="1" x14ac:dyDescent="0.2">
      <c r="A54" s="11"/>
      <c r="B54" s="84" t="s">
        <v>226</v>
      </c>
      <c r="C54" s="85"/>
      <c r="D54" s="85"/>
      <c r="E54" s="9">
        <v>10</v>
      </c>
      <c r="F54" s="27">
        <v>7</v>
      </c>
      <c r="G54" s="35">
        <f t="shared" si="0"/>
        <v>0.7</v>
      </c>
      <c r="H54" s="36" t="str">
        <f t="shared" si="1"/>
        <v>جيد</v>
      </c>
      <c r="I54" s="55"/>
      <c r="J54" s="56"/>
    </row>
    <row r="55" spans="1:10" ht="30" customHeight="1" thickBot="1" x14ac:dyDescent="0.25">
      <c r="A55" s="11"/>
      <c r="B55" s="94" t="s">
        <v>227</v>
      </c>
      <c r="C55" s="95"/>
      <c r="D55" s="95"/>
      <c r="E55" s="32">
        <v>5</v>
      </c>
      <c r="F55" s="29">
        <v>3.75</v>
      </c>
      <c r="G55" s="40">
        <f t="shared" si="0"/>
        <v>0.75</v>
      </c>
      <c r="H55" s="41" t="str">
        <f t="shared" si="1"/>
        <v>جيد</v>
      </c>
      <c r="I55" s="57"/>
      <c r="J55" s="58"/>
    </row>
    <row r="56" spans="1:10" ht="30" customHeight="1" x14ac:dyDescent="0.2">
      <c r="A56" s="11"/>
      <c r="B56" s="92" t="s">
        <v>228</v>
      </c>
      <c r="C56" s="93"/>
      <c r="D56" s="93"/>
      <c r="E56" s="30"/>
      <c r="F56" s="37"/>
      <c r="G56" s="38"/>
      <c r="H56" s="39"/>
      <c r="I56" s="60"/>
      <c r="J56" s="61"/>
    </row>
    <row r="57" spans="1:10" ht="30" customHeight="1" x14ac:dyDescent="0.2">
      <c r="A57" s="11"/>
      <c r="B57" s="84" t="s">
        <v>229</v>
      </c>
      <c r="C57" s="85"/>
      <c r="D57" s="85"/>
      <c r="E57" s="9">
        <v>5</v>
      </c>
      <c r="F57" s="27">
        <v>4.25</v>
      </c>
      <c r="G57" s="35">
        <f t="shared" si="0"/>
        <v>0.85</v>
      </c>
      <c r="H57" s="36" t="str">
        <f t="shared" si="1"/>
        <v>جيد جداً</v>
      </c>
      <c r="I57" s="55"/>
      <c r="J57" s="56"/>
    </row>
    <row r="58" spans="1:10" ht="30" customHeight="1" thickBot="1" x14ac:dyDescent="0.25">
      <c r="A58" s="11"/>
      <c r="B58" s="94" t="s">
        <v>230</v>
      </c>
      <c r="C58" s="95"/>
      <c r="D58" s="95"/>
      <c r="E58" s="32">
        <v>5</v>
      </c>
      <c r="F58" s="29">
        <v>4.25</v>
      </c>
      <c r="G58" s="40">
        <f t="shared" si="0"/>
        <v>0.85</v>
      </c>
      <c r="H58" s="41" t="str">
        <f t="shared" si="1"/>
        <v>جيد جداً</v>
      </c>
      <c r="I58" s="57"/>
      <c r="J58" s="58"/>
    </row>
    <row r="59" spans="1:10" ht="39.950000000000003" customHeight="1" thickBot="1" x14ac:dyDescent="0.25">
      <c r="A59" s="11"/>
      <c r="B59" s="96" t="s">
        <v>231</v>
      </c>
      <c r="C59" s="97"/>
      <c r="D59" s="97"/>
      <c r="E59" s="10">
        <v>5</v>
      </c>
      <c r="F59" s="42">
        <v>3.75</v>
      </c>
      <c r="G59" s="43">
        <f t="shared" si="0"/>
        <v>0.75</v>
      </c>
      <c r="H59" s="28" t="str">
        <f t="shared" si="1"/>
        <v>جيد</v>
      </c>
      <c r="I59" s="82"/>
      <c r="J59" s="83"/>
    </row>
    <row r="60" spans="1:10" ht="30" customHeight="1" thickBot="1" x14ac:dyDescent="0.25">
      <c r="A60" s="4"/>
      <c r="B60" s="78" t="s">
        <v>5</v>
      </c>
      <c r="C60" s="79"/>
      <c r="D60" s="79"/>
      <c r="E60" s="34">
        <f>SUM(E8:E59)</f>
        <v>270</v>
      </c>
      <c r="F60" s="34">
        <f>SUM(F8:F59)</f>
        <v>219.75</v>
      </c>
      <c r="G60" s="74"/>
      <c r="H60" s="75"/>
      <c r="I60" s="75"/>
      <c r="J60" s="76"/>
    </row>
    <row r="61" spans="1:10" ht="30" customHeight="1" thickBot="1" x14ac:dyDescent="0.25">
      <c r="A61" s="4"/>
      <c r="B61" s="80" t="s">
        <v>54</v>
      </c>
      <c r="C61" s="81"/>
      <c r="D61" s="81"/>
      <c r="E61" s="51">
        <f>F60/E60/100*100</f>
        <v>0.81388888888888877</v>
      </c>
      <c r="F61" s="51"/>
      <c r="G61" s="51"/>
      <c r="H61" s="51"/>
      <c r="I61" s="51"/>
      <c r="J61" s="52"/>
    </row>
    <row r="62" spans="1:10" ht="30" customHeight="1" thickBot="1" x14ac:dyDescent="0.25">
      <c r="A62" s="4"/>
      <c r="B62" s="80" t="s">
        <v>55</v>
      </c>
      <c r="C62" s="81"/>
      <c r="D62" s="81"/>
      <c r="E62" s="71" t="str">
        <f>_xlfn.IFS(E61&gt;=90%,"ممتاز",E61&gt;=80%,"جيد جداً",E61&gt;=70%,"جيد",E61&gt;=60%,"مقبول",E61&lt;60%,"راسب")</f>
        <v>جيد جداً</v>
      </c>
      <c r="F62" s="71"/>
      <c r="G62" s="71"/>
      <c r="H62" s="71"/>
      <c r="I62" s="71"/>
      <c r="J62" s="72"/>
    </row>
    <row r="63" spans="1:10" ht="42" customHeight="1" x14ac:dyDescent="0.2">
      <c r="B63" s="67" t="s">
        <v>174</v>
      </c>
      <c r="C63" s="67"/>
      <c r="D63" s="67"/>
      <c r="E63" s="77" t="s">
        <v>52</v>
      </c>
      <c r="F63" s="77"/>
      <c r="G63" s="69" t="s">
        <v>92</v>
      </c>
      <c r="H63" s="69"/>
      <c r="I63" s="69"/>
      <c r="J63" s="69"/>
    </row>
    <row r="64" spans="1:10" ht="51" customHeight="1" x14ac:dyDescent="0.2">
      <c r="A64" s="5"/>
      <c r="B64" s="68"/>
      <c r="C64" s="68"/>
      <c r="D64" s="68"/>
      <c r="E64" s="73" t="s">
        <v>53</v>
      </c>
      <c r="F64" s="73"/>
      <c r="G64" s="70"/>
      <c r="H64" s="70"/>
      <c r="I64" s="70"/>
      <c r="J64" s="7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25">
    <mergeCell ref="B54:D54"/>
    <mergeCell ref="B55:D55"/>
    <mergeCell ref="B56:D56"/>
    <mergeCell ref="B57:D57"/>
    <mergeCell ref="B58:D58"/>
    <mergeCell ref="B59:D59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36:D36"/>
    <mergeCell ref="B37:D37"/>
    <mergeCell ref="B38:D38"/>
    <mergeCell ref="B39:D39"/>
    <mergeCell ref="B40:D40"/>
    <mergeCell ref="B41:D41"/>
    <mergeCell ref="B42:D42"/>
    <mergeCell ref="B43:D43"/>
    <mergeCell ref="B53:D53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62:D62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26:J26"/>
    <mergeCell ref="I27:J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E63:F63"/>
    <mergeCell ref="I32:J32"/>
    <mergeCell ref="I33:J33"/>
    <mergeCell ref="I34:J34"/>
    <mergeCell ref="I35:J35"/>
    <mergeCell ref="I36:J36"/>
    <mergeCell ref="I8:J8"/>
    <mergeCell ref="I23:J23"/>
    <mergeCell ref="I24:J24"/>
    <mergeCell ref="I25:J25"/>
    <mergeCell ref="I9:J9"/>
    <mergeCell ref="B63:D64"/>
    <mergeCell ref="G63:J63"/>
    <mergeCell ref="G64:J64"/>
    <mergeCell ref="E62:J62"/>
    <mergeCell ref="I40:J40"/>
    <mergeCell ref="I41:J41"/>
    <mergeCell ref="I42:J42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E64:F64"/>
    <mergeCell ref="G60:J60"/>
    <mergeCell ref="I47:J47"/>
    <mergeCell ref="B1:J1"/>
    <mergeCell ref="F2:J2"/>
    <mergeCell ref="B5:D6"/>
    <mergeCell ref="C2:D2"/>
    <mergeCell ref="C3:D3"/>
    <mergeCell ref="F3:J3"/>
    <mergeCell ref="E61:J61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48:J48"/>
    <mergeCell ref="B60:D60"/>
    <mergeCell ref="B61:D6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62">
    <cfRule type="expression" dxfId="14" priority="57">
      <formula>$E62="راسب"</formula>
    </cfRule>
  </conditionalFormatting>
  <conditionalFormatting sqref="E62:J62">
    <cfRule type="expression" dxfId="13" priority="58">
      <formula>$E62="مقبول"</formula>
    </cfRule>
    <cfRule type="expression" dxfId="12" priority="59">
      <formula>$E62="جيد"</formula>
    </cfRule>
    <cfRule type="expression" dxfId="11" priority="60">
      <formula>$E62="جيد جداً"</formula>
    </cfRule>
    <cfRule type="expression" dxfId="10" priority="61">
      <formula>$E62="ممتاز"</formula>
    </cfRule>
  </conditionalFormatting>
  <conditionalFormatting sqref="F8:F59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63:J63">
    <cfRule type="containsText" dxfId="6" priority="15" operator="containsText" text="أدخل اسم المحكم">
      <formula>NOT(ISERROR(SEARCH("أدخل اسم المحكم",G63)))</formula>
    </cfRule>
  </conditionalFormatting>
  <conditionalFormatting sqref="H8:H59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F55 F34:F36 F39:F44 F13 F48:F51 F57:F59 F21:F23 F46 F17:F19 F26:F31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G63:J63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D3765AD8-38E9-4D95-8B43-1EC54C6FE078}">
          <x14:formula1>
            <xm:f>'بيانات التقييم'!$A$111:$A$153</xm:f>
          </x14:formula1>
          <xm:sqref>F9 F10 F20 F53 F54</xm:sqref>
        </x14:dataValidation>
        <x14:dataValidation type="list" allowBlank="1" showInputMessage="1" showErrorMessage="1" xr:uid="{CC9803AA-C47A-4931-BC5C-30841294FC77}">
          <x14:formula1>
            <xm:f>'بيانات التقييم'!$A$111:$A$145</xm:f>
          </x14:formula1>
          <xm:sqref>F11 F12 F14 F16 F47</xm:sqref>
        </x14:dataValidation>
        <x14:dataValidation type="list" allowBlank="1" showInputMessage="1" showErrorMessage="1" xr:uid="{A33B5F11-B3BC-41C7-9952-337F6DB82F3C}">
          <x14:formula1>
            <xm:f>'بيانات التقييم'!$A$111:$A$141</xm:f>
          </x14:formula1>
          <xm:sqref>F15</xm:sqref>
        </x14:dataValidation>
        <x14:dataValidation type="list" allowBlank="1" showInputMessage="1" showErrorMessage="1" xr:uid="{07F39051-9254-4F84-B294-CE9D0A7AC44B}">
          <x14:formula1>
            <xm:f>'بيانات التقييم'!$A$111:$A$137</xm:f>
          </x14:formula1>
          <xm:sqref>F25 F33 F38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28" workbookViewId="0">
      <selection activeCell="C33" sqref="C33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20" t="s">
        <v>62</v>
      </c>
    </row>
    <row r="3" spans="1:3" ht="20.100000000000001" customHeight="1" thickBot="1" x14ac:dyDescent="0.3">
      <c r="A3" s="2" t="s">
        <v>26</v>
      </c>
      <c r="C3" s="20" t="s">
        <v>63</v>
      </c>
    </row>
    <row r="4" spans="1:3" ht="20.100000000000001" customHeight="1" thickBot="1" x14ac:dyDescent="0.3">
      <c r="A4" s="2" t="s">
        <v>36</v>
      </c>
      <c r="C4" s="20" t="s">
        <v>64</v>
      </c>
    </row>
    <row r="5" spans="1:3" ht="20.100000000000001" customHeight="1" thickBot="1" x14ac:dyDescent="0.3">
      <c r="A5" s="2" t="s">
        <v>37</v>
      </c>
      <c r="C5" s="20" t="s">
        <v>65</v>
      </c>
    </row>
    <row r="6" spans="1:3" ht="20.100000000000001" customHeight="1" thickBot="1" x14ac:dyDescent="0.3">
      <c r="A6" s="2" t="s">
        <v>38</v>
      </c>
      <c r="C6" s="20" t="s">
        <v>66</v>
      </c>
    </row>
    <row r="7" spans="1:3" ht="20.100000000000001" customHeight="1" thickBot="1" x14ac:dyDescent="0.3">
      <c r="A7" s="2" t="s">
        <v>39</v>
      </c>
      <c r="C7" s="20" t="s">
        <v>67</v>
      </c>
    </row>
    <row r="8" spans="1:3" ht="20.100000000000001" customHeight="1" thickBot="1" x14ac:dyDescent="0.3">
      <c r="A8" s="2" t="s">
        <v>40</v>
      </c>
      <c r="C8" s="20" t="s">
        <v>68</v>
      </c>
    </row>
    <row r="9" spans="1:3" ht="20.100000000000001" customHeight="1" thickBot="1" x14ac:dyDescent="0.3">
      <c r="A9" s="2" t="s">
        <v>41</v>
      </c>
      <c r="C9" s="20" t="s">
        <v>69</v>
      </c>
    </row>
    <row r="10" spans="1:3" ht="20.100000000000001" customHeight="1" thickBot="1" x14ac:dyDescent="0.3">
      <c r="A10" s="2" t="s">
        <v>42</v>
      </c>
      <c r="C10" s="20" t="s">
        <v>70</v>
      </c>
    </row>
    <row r="11" spans="1:3" ht="20.100000000000001" customHeight="1" thickBot="1" x14ac:dyDescent="0.3">
      <c r="A11" s="2" t="s">
        <v>43</v>
      </c>
      <c r="C11" s="20" t="s">
        <v>71</v>
      </c>
    </row>
    <row r="12" spans="1:3" ht="20.100000000000001" customHeight="1" thickBot="1" x14ac:dyDescent="0.3">
      <c r="A12" s="2" t="s">
        <v>44</v>
      </c>
      <c r="C12" s="20" t="s">
        <v>72</v>
      </c>
    </row>
    <row r="13" spans="1:3" ht="20.100000000000001" customHeight="1" thickBot="1" x14ac:dyDescent="0.3">
      <c r="A13" s="2" t="s">
        <v>45</v>
      </c>
      <c r="C13" s="20" t="s">
        <v>73</v>
      </c>
    </row>
    <row r="14" spans="1:3" ht="20.100000000000001" customHeight="1" thickBot="1" x14ac:dyDescent="0.3">
      <c r="A14" s="2" t="s">
        <v>46</v>
      </c>
      <c r="C14" s="20" t="s">
        <v>74</v>
      </c>
    </row>
    <row r="15" spans="1:3" ht="20.100000000000001" customHeight="1" thickBot="1" x14ac:dyDescent="0.3">
      <c r="A15" s="2" t="s">
        <v>47</v>
      </c>
      <c r="C15" s="20" t="s">
        <v>75</v>
      </c>
    </row>
    <row r="16" spans="1:3" ht="20.100000000000001" customHeight="1" thickBot="1" x14ac:dyDescent="0.3">
      <c r="A16" s="2" t="s">
        <v>10</v>
      </c>
      <c r="C16" s="20" t="s">
        <v>76</v>
      </c>
    </row>
    <row r="17" spans="1:3" ht="20.100000000000001" customHeight="1" thickBot="1" x14ac:dyDescent="0.3">
      <c r="A17" s="2" t="s">
        <v>27</v>
      </c>
      <c r="C17" s="20" t="s">
        <v>77</v>
      </c>
    </row>
    <row r="18" spans="1:3" ht="20.100000000000001" customHeight="1" thickBot="1" x14ac:dyDescent="0.3">
      <c r="A18" s="2" t="s">
        <v>48</v>
      </c>
      <c r="C18" s="20" t="s">
        <v>78</v>
      </c>
    </row>
    <row r="19" spans="1:3" ht="20.100000000000001" customHeight="1" thickBot="1" x14ac:dyDescent="0.3">
      <c r="A19" s="2" t="s">
        <v>49</v>
      </c>
      <c r="C19" s="20" t="s">
        <v>79</v>
      </c>
    </row>
    <row r="20" spans="1:3" ht="20.100000000000001" customHeight="1" thickBot="1" x14ac:dyDescent="0.3">
      <c r="A20" s="2" t="s">
        <v>50</v>
      </c>
      <c r="C20" s="20" t="s">
        <v>80</v>
      </c>
    </row>
    <row r="21" spans="1:3" ht="20.100000000000001" customHeight="1" thickBot="1" x14ac:dyDescent="0.3">
      <c r="A21" s="2" t="s">
        <v>51</v>
      </c>
      <c r="C21" s="20" t="s">
        <v>81</v>
      </c>
    </row>
    <row r="22" spans="1:3" ht="20.100000000000001" customHeight="1" thickBot="1" x14ac:dyDescent="0.3">
      <c r="A22" s="2" t="s">
        <v>11</v>
      </c>
      <c r="C22" s="20" t="s">
        <v>82</v>
      </c>
    </row>
    <row r="23" spans="1:3" ht="20.100000000000001" customHeight="1" thickBot="1" x14ac:dyDescent="0.3">
      <c r="A23" s="2" t="s">
        <v>12</v>
      </c>
      <c r="C23" s="20" t="s">
        <v>83</v>
      </c>
    </row>
    <row r="24" spans="1:3" ht="20.100000000000001" customHeight="1" thickBot="1" x14ac:dyDescent="0.3">
      <c r="A24" s="2" t="s">
        <v>15</v>
      </c>
      <c r="C24" s="20" t="s">
        <v>84</v>
      </c>
    </row>
    <row r="25" spans="1:3" ht="20.100000000000001" customHeight="1" thickBot="1" x14ac:dyDescent="0.3">
      <c r="A25" s="2" t="s">
        <v>28</v>
      </c>
      <c r="C25" s="20" t="s">
        <v>85</v>
      </c>
    </row>
    <row r="26" spans="1:3" ht="20.100000000000001" customHeight="1" thickBot="1" x14ac:dyDescent="0.3">
      <c r="A26" s="2" t="s">
        <v>29</v>
      </c>
      <c r="C26" s="20" t="s">
        <v>86</v>
      </c>
    </row>
    <row r="27" spans="1:3" ht="20.100000000000001" customHeight="1" thickBot="1" x14ac:dyDescent="0.3">
      <c r="A27" s="2" t="s">
        <v>13</v>
      </c>
      <c r="C27" s="20" t="s">
        <v>87</v>
      </c>
    </row>
    <row r="28" spans="1:3" ht="20.100000000000001" customHeight="1" thickBot="1" x14ac:dyDescent="0.3">
      <c r="A28" s="2" t="s">
        <v>30</v>
      </c>
      <c r="C28" s="20" t="s">
        <v>88</v>
      </c>
    </row>
    <row r="29" spans="1:3" ht="20.100000000000001" customHeight="1" thickBot="1" x14ac:dyDescent="0.3">
      <c r="A29" s="2" t="s">
        <v>31</v>
      </c>
      <c r="C29" s="20" t="s">
        <v>177</v>
      </c>
    </row>
    <row r="30" spans="1:3" ht="20.100000000000001" customHeight="1" thickBot="1" x14ac:dyDescent="0.3">
      <c r="A30" s="2" t="s">
        <v>32</v>
      </c>
      <c r="C30" s="20" t="s">
        <v>178</v>
      </c>
    </row>
    <row r="31" spans="1:3" ht="20.100000000000001" customHeight="1" thickBot="1" x14ac:dyDescent="0.3">
      <c r="A31" s="2" t="s">
        <v>33</v>
      </c>
      <c r="C31" s="20" t="s">
        <v>179</v>
      </c>
    </row>
    <row r="32" spans="1:3" ht="20.100000000000001" customHeight="1" thickBot="1" x14ac:dyDescent="0.3">
      <c r="A32" s="2" t="s">
        <v>16</v>
      </c>
      <c r="C32" s="20"/>
    </row>
    <row r="33" spans="1:9" ht="20.100000000000001" customHeight="1" thickBot="1" x14ac:dyDescent="0.3">
      <c r="A33" s="2" t="s">
        <v>14</v>
      </c>
      <c r="C33" s="20"/>
    </row>
    <row r="34" spans="1:9" ht="20.100000000000001" customHeight="1" thickBot="1" x14ac:dyDescent="0.3">
      <c r="A34" s="2" t="s">
        <v>34</v>
      </c>
      <c r="C34" s="20"/>
    </row>
    <row r="35" spans="1:9" ht="20.100000000000001" customHeight="1" x14ac:dyDescent="0.2">
      <c r="A35" s="19"/>
    </row>
    <row r="36" spans="1:9" s="18" customFormat="1" ht="20.100000000000001" customHeight="1" x14ac:dyDescent="0.2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4">
        <v>45901</v>
      </c>
    </row>
    <row r="40" spans="1:9" ht="20.100000000000001" customHeight="1" thickBot="1" x14ac:dyDescent="0.3">
      <c r="A40" s="14">
        <v>45902</v>
      </c>
    </row>
    <row r="41" spans="1:9" ht="20.100000000000001" customHeight="1" thickBot="1" x14ac:dyDescent="0.3">
      <c r="A41" s="14">
        <v>45903</v>
      </c>
    </row>
    <row r="42" spans="1:9" ht="20.100000000000001" customHeight="1" thickBot="1" x14ac:dyDescent="0.3">
      <c r="A42" s="14">
        <v>45904</v>
      </c>
    </row>
    <row r="43" spans="1:9" ht="20.100000000000001" customHeight="1" thickBot="1" x14ac:dyDescent="0.3">
      <c r="A43" s="14">
        <v>45905</v>
      </c>
    </row>
    <row r="44" spans="1:9" ht="20.100000000000001" customHeight="1" thickBot="1" x14ac:dyDescent="0.3">
      <c r="A44" s="14">
        <v>45906</v>
      </c>
    </row>
    <row r="45" spans="1:9" ht="20.100000000000001" customHeight="1" thickBot="1" x14ac:dyDescent="0.3">
      <c r="A45" s="14">
        <v>45907</v>
      </c>
    </row>
    <row r="46" spans="1:9" ht="20.100000000000001" customHeight="1" thickBot="1" x14ac:dyDescent="0.3">
      <c r="A46" s="14">
        <v>45908</v>
      </c>
    </row>
    <row r="47" spans="1:9" ht="20.100000000000001" customHeight="1" thickBot="1" x14ac:dyDescent="0.3">
      <c r="A47" s="14">
        <v>45909</v>
      </c>
    </row>
    <row r="48" spans="1:9" ht="20.100000000000001" customHeight="1" thickBot="1" x14ac:dyDescent="0.3">
      <c r="A48" s="14">
        <v>45910</v>
      </c>
    </row>
    <row r="49" spans="1:1" ht="20.100000000000001" customHeight="1" thickBot="1" x14ac:dyDescent="0.3">
      <c r="A49" s="14">
        <v>45911</v>
      </c>
    </row>
    <row r="50" spans="1:1" ht="20.100000000000001" customHeight="1" thickBot="1" x14ac:dyDescent="0.3">
      <c r="A50" s="14">
        <v>45912</v>
      </c>
    </row>
    <row r="51" spans="1:1" ht="20.100000000000001" customHeight="1" thickBot="1" x14ac:dyDescent="0.3">
      <c r="A51" s="14">
        <v>45913</v>
      </c>
    </row>
    <row r="52" spans="1:1" ht="20.100000000000001" customHeight="1" thickBot="1" x14ac:dyDescent="0.3">
      <c r="A52" s="14">
        <v>45914</v>
      </c>
    </row>
    <row r="53" spans="1:1" ht="20.100000000000001" customHeight="1" thickBot="1" x14ac:dyDescent="0.3">
      <c r="A53" s="14">
        <v>45915</v>
      </c>
    </row>
    <row r="54" spans="1:1" ht="20.100000000000001" customHeight="1" thickBot="1" x14ac:dyDescent="0.3">
      <c r="A54" s="14">
        <v>45916</v>
      </c>
    </row>
    <row r="55" spans="1:1" ht="20.100000000000001" customHeight="1" thickBot="1" x14ac:dyDescent="0.3">
      <c r="A55" s="14">
        <v>45917</v>
      </c>
    </row>
    <row r="56" spans="1:1" ht="20.100000000000001" customHeight="1" thickBot="1" x14ac:dyDescent="0.3">
      <c r="A56" s="14">
        <v>45918</v>
      </c>
    </row>
    <row r="57" spans="1:1" ht="20.100000000000001" customHeight="1" thickBot="1" x14ac:dyDescent="0.3">
      <c r="A57" s="14">
        <v>45919</v>
      </c>
    </row>
    <row r="58" spans="1:1" ht="20.100000000000001" customHeight="1" thickBot="1" x14ac:dyDescent="0.3">
      <c r="A58" s="14">
        <v>45920</v>
      </c>
    </row>
    <row r="59" spans="1:1" ht="20.100000000000001" customHeight="1" thickBot="1" x14ac:dyDescent="0.3">
      <c r="A59" s="14">
        <v>45921</v>
      </c>
    </row>
    <row r="60" spans="1:1" ht="20.100000000000001" customHeight="1" thickBot="1" x14ac:dyDescent="0.3">
      <c r="A60" s="14">
        <v>45922</v>
      </c>
    </row>
    <row r="61" spans="1:1" ht="20.100000000000001" customHeight="1" thickBot="1" x14ac:dyDescent="0.3">
      <c r="A61" s="14">
        <v>45923</v>
      </c>
    </row>
    <row r="62" spans="1:1" ht="20.100000000000001" customHeight="1" thickBot="1" x14ac:dyDescent="0.3">
      <c r="A62" s="14">
        <v>45924</v>
      </c>
    </row>
    <row r="63" spans="1:1" ht="20.100000000000001" customHeight="1" thickBot="1" x14ac:dyDescent="0.3">
      <c r="A63" s="14">
        <v>45925</v>
      </c>
    </row>
    <row r="64" spans="1:1" ht="20.100000000000001" customHeight="1" thickBot="1" x14ac:dyDescent="0.3">
      <c r="A64" s="14">
        <v>45926</v>
      </c>
    </row>
    <row r="65" spans="1:1" ht="20.100000000000001" customHeight="1" thickBot="1" x14ac:dyDescent="0.3">
      <c r="A65" s="14">
        <v>45927</v>
      </c>
    </row>
    <row r="66" spans="1:1" ht="20.100000000000001" customHeight="1" thickBot="1" x14ac:dyDescent="0.3">
      <c r="A66" s="14">
        <v>45928</v>
      </c>
    </row>
    <row r="67" spans="1:1" ht="20.100000000000001" customHeight="1" thickBot="1" x14ac:dyDescent="0.3">
      <c r="A67" s="14">
        <v>45929</v>
      </c>
    </row>
    <row r="68" spans="1:1" ht="20.100000000000001" customHeight="1" thickBot="1" x14ac:dyDescent="0.3">
      <c r="A68" s="14">
        <v>45930</v>
      </c>
    </row>
    <row r="69" spans="1:1" ht="20.100000000000001" customHeight="1" thickBot="1" x14ac:dyDescent="0.3">
      <c r="A69" s="14">
        <v>45931</v>
      </c>
    </row>
    <row r="70" spans="1:1" ht="20.100000000000001" customHeight="1" thickBot="1" x14ac:dyDescent="0.3">
      <c r="A70" s="14">
        <v>45932</v>
      </c>
    </row>
    <row r="71" spans="1:1" ht="20.100000000000001" customHeight="1" thickBot="1" x14ac:dyDescent="0.3">
      <c r="A71" s="14">
        <v>45933</v>
      </c>
    </row>
    <row r="72" spans="1:1" ht="20.100000000000001" customHeight="1" thickBot="1" x14ac:dyDescent="0.3">
      <c r="A72" s="14">
        <v>45934</v>
      </c>
    </row>
    <row r="73" spans="1:1" ht="20.100000000000001" customHeight="1" thickBot="1" x14ac:dyDescent="0.3">
      <c r="A73" s="14">
        <v>45935</v>
      </c>
    </row>
    <row r="74" spans="1:1" ht="20.100000000000001" customHeight="1" thickBot="1" x14ac:dyDescent="0.3">
      <c r="A74" s="14">
        <v>45936</v>
      </c>
    </row>
    <row r="75" spans="1:1" ht="20.100000000000001" customHeight="1" thickBot="1" x14ac:dyDescent="0.3">
      <c r="A75" s="14">
        <v>45937</v>
      </c>
    </row>
    <row r="76" spans="1:1" ht="20.100000000000001" customHeight="1" thickBot="1" x14ac:dyDescent="0.3">
      <c r="A76" s="14">
        <v>45938</v>
      </c>
    </row>
    <row r="77" spans="1:1" ht="20.100000000000001" customHeight="1" thickBot="1" x14ac:dyDescent="0.3">
      <c r="A77" s="14">
        <v>45939</v>
      </c>
    </row>
    <row r="78" spans="1:1" ht="20.100000000000001" customHeight="1" thickBot="1" x14ac:dyDescent="0.3">
      <c r="A78" s="14">
        <v>45940</v>
      </c>
    </row>
    <row r="79" spans="1:1" ht="20.100000000000001" customHeight="1" thickBot="1" x14ac:dyDescent="0.3">
      <c r="A79" s="14">
        <v>45941</v>
      </c>
    </row>
    <row r="80" spans="1:1" ht="20.100000000000001" customHeight="1" thickBot="1" x14ac:dyDescent="0.3">
      <c r="A80" s="14">
        <v>45942</v>
      </c>
    </row>
    <row r="81" spans="1:1" ht="20.100000000000001" customHeight="1" thickBot="1" x14ac:dyDescent="0.3">
      <c r="A81" s="14">
        <v>45943</v>
      </c>
    </row>
    <row r="82" spans="1:1" ht="20.100000000000001" customHeight="1" thickBot="1" x14ac:dyDescent="0.3">
      <c r="A82" s="14">
        <v>45944</v>
      </c>
    </row>
    <row r="83" spans="1:1" ht="20.100000000000001" customHeight="1" thickBot="1" x14ac:dyDescent="0.3">
      <c r="A83" s="14">
        <v>45945</v>
      </c>
    </row>
    <row r="84" spans="1:1" ht="20.100000000000001" customHeight="1" thickBot="1" x14ac:dyDescent="0.3">
      <c r="A84" s="14">
        <v>45946</v>
      </c>
    </row>
    <row r="85" spans="1:1" ht="20.100000000000001" customHeight="1" thickBot="1" x14ac:dyDescent="0.3">
      <c r="A85" s="14">
        <v>45947</v>
      </c>
    </row>
    <row r="86" spans="1:1" ht="20.100000000000001" customHeight="1" thickBot="1" x14ac:dyDescent="0.3">
      <c r="A86" s="14">
        <v>45948</v>
      </c>
    </row>
    <row r="87" spans="1:1" ht="20.100000000000001" customHeight="1" thickBot="1" x14ac:dyDescent="0.3">
      <c r="A87" s="14">
        <v>45949</v>
      </c>
    </row>
    <row r="88" spans="1:1" ht="20.100000000000001" customHeight="1" thickBot="1" x14ac:dyDescent="0.3">
      <c r="A88" s="14">
        <v>45950</v>
      </c>
    </row>
    <row r="89" spans="1:1" ht="20.100000000000001" customHeight="1" thickBot="1" x14ac:dyDescent="0.3">
      <c r="A89" s="14">
        <v>45951</v>
      </c>
    </row>
    <row r="90" spans="1:1" ht="20.100000000000001" customHeight="1" thickBot="1" x14ac:dyDescent="0.3">
      <c r="A90" s="14">
        <v>45952</v>
      </c>
    </row>
    <row r="91" spans="1:1" ht="20.100000000000001" customHeight="1" thickBot="1" x14ac:dyDescent="0.3">
      <c r="A91" s="14">
        <v>45953</v>
      </c>
    </row>
    <row r="92" spans="1:1" ht="20.100000000000001" customHeight="1" thickBot="1" x14ac:dyDescent="0.3">
      <c r="A92" s="14">
        <v>45954</v>
      </c>
    </row>
    <row r="93" spans="1:1" ht="20.100000000000001" customHeight="1" thickBot="1" x14ac:dyDescent="0.3">
      <c r="A93" s="14">
        <v>45955</v>
      </c>
    </row>
    <row r="94" spans="1:1" ht="20.100000000000001" customHeight="1" thickBot="1" x14ac:dyDescent="0.3">
      <c r="A94" s="14">
        <v>45956</v>
      </c>
    </row>
    <row r="95" spans="1:1" ht="20.100000000000001" customHeight="1" thickBot="1" x14ac:dyDescent="0.3">
      <c r="A95" s="14">
        <v>45957</v>
      </c>
    </row>
    <row r="96" spans="1:1" ht="20.100000000000001" customHeight="1" thickBot="1" x14ac:dyDescent="0.3">
      <c r="A96" s="14">
        <v>45958</v>
      </c>
    </row>
    <row r="97" spans="1:9" ht="20.100000000000001" customHeight="1" thickBot="1" x14ac:dyDescent="0.3">
      <c r="A97" s="14">
        <v>45959</v>
      </c>
    </row>
    <row r="98" spans="1:9" ht="20.100000000000001" customHeight="1" thickBot="1" x14ac:dyDescent="0.3">
      <c r="A98" s="14">
        <v>45960</v>
      </c>
    </row>
    <row r="99" spans="1:9" ht="20.100000000000001" customHeight="1" thickBot="1" x14ac:dyDescent="0.3">
      <c r="A99" s="14">
        <v>45961</v>
      </c>
    </row>
    <row r="100" spans="1:9" ht="20.100000000000001" customHeight="1" thickBot="1" x14ac:dyDescent="0.3">
      <c r="A100" s="14">
        <v>45962</v>
      </c>
    </row>
    <row r="101" spans="1:9" ht="20.100000000000001" customHeight="1" thickBot="1" x14ac:dyDescent="0.3">
      <c r="A101" s="14">
        <v>45963</v>
      </c>
    </row>
    <row r="102" spans="1:9" ht="20.100000000000001" customHeight="1" thickBot="1" x14ac:dyDescent="0.3">
      <c r="A102" s="14">
        <v>45964</v>
      </c>
    </row>
    <row r="103" spans="1:9" ht="20.100000000000001" customHeight="1" thickBot="1" x14ac:dyDescent="0.3">
      <c r="A103" s="14">
        <v>45965</v>
      </c>
    </row>
    <row r="104" spans="1:9" ht="20.100000000000001" customHeight="1" thickBot="1" x14ac:dyDescent="0.3">
      <c r="A104" s="14">
        <v>45966</v>
      </c>
    </row>
    <row r="105" spans="1:9" ht="20.100000000000001" customHeight="1" thickBot="1" x14ac:dyDescent="0.3">
      <c r="A105" s="14">
        <v>45967</v>
      </c>
    </row>
    <row r="106" spans="1:9" ht="20.100000000000001" customHeight="1" thickBot="1" x14ac:dyDescent="0.3">
      <c r="A106" s="14">
        <v>45968</v>
      </c>
    </row>
    <row r="107" spans="1:9" ht="20.100000000000001" customHeight="1" x14ac:dyDescent="0.2">
      <c r="A107" s="15"/>
    </row>
    <row r="108" spans="1:9" ht="20.100000000000001" customHeight="1" x14ac:dyDescent="0.2">
      <c r="A108" s="15"/>
    </row>
    <row r="109" spans="1:9" s="18" customFormat="1" ht="20.100000000000001" customHeight="1" x14ac:dyDescent="0.2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1" t="s">
        <v>89</v>
      </c>
    </row>
    <row r="200" spans="1:1" ht="20.100000000000001" customHeight="1" x14ac:dyDescent="0.2">
      <c r="A200" s="21" t="s">
        <v>90</v>
      </c>
    </row>
    <row r="201" spans="1:1" ht="20.100000000000001" customHeight="1" x14ac:dyDescent="0.2">
      <c r="A201" s="21" t="s">
        <v>91</v>
      </c>
    </row>
    <row r="202" spans="1:1" ht="20.100000000000001" customHeight="1" x14ac:dyDescent="0.2">
      <c r="A202" s="21" t="s">
        <v>92</v>
      </c>
    </row>
    <row r="203" spans="1:1" ht="20.100000000000001" customHeight="1" x14ac:dyDescent="0.2">
      <c r="A203" s="21" t="s">
        <v>93</v>
      </c>
    </row>
    <row r="204" spans="1:1" ht="20.100000000000001" customHeight="1" x14ac:dyDescent="0.2">
      <c r="A204" s="21" t="s">
        <v>94</v>
      </c>
    </row>
    <row r="205" spans="1:1" ht="20.100000000000001" customHeight="1" x14ac:dyDescent="0.2">
      <c r="A205" s="21" t="s">
        <v>95</v>
      </c>
    </row>
    <row r="206" spans="1:1" ht="20.100000000000001" customHeight="1" x14ac:dyDescent="0.2">
      <c r="A206" s="21" t="s">
        <v>96</v>
      </c>
    </row>
    <row r="207" spans="1:1" ht="20.100000000000001" customHeight="1" x14ac:dyDescent="0.2">
      <c r="A207" s="21" t="s">
        <v>97</v>
      </c>
    </row>
    <row r="208" spans="1:1" ht="20.100000000000001" customHeight="1" x14ac:dyDescent="0.2">
      <c r="A208" s="22" t="s">
        <v>98</v>
      </c>
    </row>
    <row r="209" spans="1:1" ht="20.100000000000001" customHeight="1" x14ac:dyDescent="0.2">
      <c r="A209" s="22" t="s">
        <v>99</v>
      </c>
    </row>
    <row r="210" spans="1:1" ht="20.100000000000001" customHeight="1" x14ac:dyDescent="0.2">
      <c r="A210" s="21" t="s">
        <v>100</v>
      </c>
    </row>
    <row r="211" spans="1:1" ht="20.100000000000001" customHeight="1" x14ac:dyDescent="0.2">
      <c r="A211" s="21" t="s">
        <v>101</v>
      </c>
    </row>
    <row r="212" spans="1:1" ht="20.100000000000001" customHeight="1" x14ac:dyDescent="0.2">
      <c r="A212" s="21" t="s">
        <v>175</v>
      </c>
    </row>
    <row r="213" spans="1:1" ht="20.100000000000001" customHeight="1" x14ac:dyDescent="0.2">
      <c r="A213" s="21" t="s">
        <v>102</v>
      </c>
    </row>
    <row r="214" spans="1:1" ht="20.100000000000001" customHeight="1" x14ac:dyDescent="0.2">
      <c r="A214" s="21" t="s">
        <v>103</v>
      </c>
    </row>
    <row r="215" spans="1:1" ht="20.100000000000001" customHeight="1" x14ac:dyDescent="0.2">
      <c r="A215" s="21" t="s">
        <v>104</v>
      </c>
    </row>
    <row r="216" spans="1:1" ht="20.100000000000001" customHeight="1" x14ac:dyDescent="0.2">
      <c r="A216" s="21" t="s">
        <v>105</v>
      </c>
    </row>
    <row r="217" spans="1:1" ht="20.100000000000001" customHeight="1" x14ac:dyDescent="0.2">
      <c r="A217" s="21" t="s">
        <v>106</v>
      </c>
    </row>
    <row r="218" spans="1:1" ht="20.100000000000001" customHeight="1" x14ac:dyDescent="0.2">
      <c r="A218" s="21" t="s">
        <v>107</v>
      </c>
    </row>
    <row r="219" spans="1:1" ht="20.100000000000001" customHeight="1" x14ac:dyDescent="0.2">
      <c r="A219" s="21" t="s">
        <v>108</v>
      </c>
    </row>
    <row r="220" spans="1:1" ht="20.100000000000001" customHeight="1" x14ac:dyDescent="0.2">
      <c r="A220" s="21" t="s">
        <v>109</v>
      </c>
    </row>
    <row r="221" spans="1:1" ht="20.100000000000001" customHeight="1" x14ac:dyDescent="0.2">
      <c r="A221" s="21" t="s">
        <v>110</v>
      </c>
    </row>
    <row r="222" spans="1:1" ht="20.100000000000001" customHeight="1" x14ac:dyDescent="0.2">
      <c r="A222" s="21" t="s">
        <v>111</v>
      </c>
    </row>
    <row r="223" spans="1:1" ht="20.100000000000001" customHeight="1" x14ac:dyDescent="0.2">
      <c r="A223" s="21" t="s">
        <v>112</v>
      </c>
    </row>
    <row r="224" spans="1:1" ht="20.100000000000001" customHeight="1" x14ac:dyDescent="0.2">
      <c r="A224" s="21" t="s">
        <v>176</v>
      </c>
    </row>
    <row r="225" spans="1:1" ht="20.100000000000001" customHeight="1" x14ac:dyDescent="0.2">
      <c r="A225" s="21" t="s">
        <v>113</v>
      </c>
    </row>
    <row r="226" spans="1:1" ht="20.100000000000001" customHeight="1" x14ac:dyDescent="0.2">
      <c r="A226" s="21" t="s">
        <v>114</v>
      </c>
    </row>
    <row r="227" spans="1:1" ht="20.100000000000001" customHeight="1" x14ac:dyDescent="0.2">
      <c r="A227" s="21" t="s">
        <v>115</v>
      </c>
    </row>
    <row r="228" spans="1:1" ht="20.100000000000001" customHeight="1" x14ac:dyDescent="0.2">
      <c r="A228" s="21" t="s">
        <v>116</v>
      </c>
    </row>
    <row r="229" spans="1:1" ht="20.100000000000001" customHeight="1" x14ac:dyDescent="0.2">
      <c r="A229" s="21" t="s">
        <v>117</v>
      </c>
    </row>
    <row r="230" spans="1:1" ht="20.100000000000001" customHeight="1" x14ac:dyDescent="0.2">
      <c r="A230" s="21" t="s">
        <v>118</v>
      </c>
    </row>
    <row r="231" spans="1:1" ht="20.100000000000001" customHeight="1" x14ac:dyDescent="0.2">
      <c r="A231" s="21" t="s">
        <v>119</v>
      </c>
    </row>
    <row r="232" spans="1:1" ht="20.100000000000001" customHeight="1" x14ac:dyDescent="0.2">
      <c r="A232" s="21" t="s">
        <v>120</v>
      </c>
    </row>
    <row r="233" spans="1:1" ht="20.100000000000001" customHeight="1" x14ac:dyDescent="0.2">
      <c r="A233" s="21" t="s">
        <v>121</v>
      </c>
    </row>
    <row r="234" spans="1:1" ht="20.100000000000001" customHeight="1" x14ac:dyDescent="0.2">
      <c r="A234" s="21" t="s">
        <v>122</v>
      </c>
    </row>
    <row r="235" spans="1:1" ht="20.100000000000001" customHeight="1" x14ac:dyDescent="0.2">
      <c r="A235" s="21" t="s">
        <v>123</v>
      </c>
    </row>
    <row r="236" spans="1:1" ht="20.100000000000001" customHeight="1" x14ac:dyDescent="0.2">
      <c r="A236" s="23" t="s">
        <v>124</v>
      </c>
    </row>
    <row r="237" spans="1:1" ht="20.100000000000001" customHeight="1" x14ac:dyDescent="0.2">
      <c r="A237" s="21" t="s">
        <v>125</v>
      </c>
    </row>
    <row r="238" spans="1:1" ht="20.100000000000001" customHeight="1" x14ac:dyDescent="0.2">
      <c r="A238" s="21" t="s">
        <v>126</v>
      </c>
    </row>
    <row r="239" spans="1:1" ht="20.100000000000001" customHeight="1" x14ac:dyDescent="0.2">
      <c r="A239" s="21" t="s">
        <v>127</v>
      </c>
    </row>
    <row r="240" spans="1:1" ht="20.100000000000001" customHeight="1" x14ac:dyDescent="0.2">
      <c r="A240" s="21" t="s">
        <v>128</v>
      </c>
    </row>
    <row r="241" spans="1:1" ht="20.100000000000001" customHeight="1" x14ac:dyDescent="0.2">
      <c r="A241" s="21" t="s">
        <v>129</v>
      </c>
    </row>
    <row r="242" spans="1:1" ht="20.100000000000001" customHeight="1" x14ac:dyDescent="0.2">
      <c r="A242" s="21" t="s">
        <v>130</v>
      </c>
    </row>
    <row r="243" spans="1:1" ht="20.100000000000001" customHeight="1" x14ac:dyDescent="0.2">
      <c r="A243" s="21" t="s">
        <v>131</v>
      </c>
    </row>
    <row r="244" spans="1:1" ht="20.100000000000001" customHeight="1" x14ac:dyDescent="0.2">
      <c r="A244" s="21" t="s">
        <v>132</v>
      </c>
    </row>
    <row r="245" spans="1:1" ht="20.100000000000001" customHeight="1" x14ac:dyDescent="0.2">
      <c r="A245" s="21" t="s">
        <v>133</v>
      </c>
    </row>
    <row r="246" spans="1:1" ht="20.100000000000001" customHeight="1" x14ac:dyDescent="0.2">
      <c r="A246" s="21" t="s">
        <v>134</v>
      </c>
    </row>
    <row r="247" spans="1:1" ht="20.100000000000001" customHeight="1" x14ac:dyDescent="0.2">
      <c r="A247" s="21" t="s">
        <v>135</v>
      </c>
    </row>
    <row r="248" spans="1:1" ht="20.100000000000001" customHeight="1" x14ac:dyDescent="0.2">
      <c r="A248" s="21" t="s">
        <v>126</v>
      </c>
    </row>
    <row r="249" spans="1:1" ht="20.100000000000001" customHeight="1" x14ac:dyDescent="0.2">
      <c r="A249" s="21" t="s">
        <v>136</v>
      </c>
    </row>
    <row r="250" spans="1:1" ht="20.100000000000001" customHeight="1" x14ac:dyDescent="0.2">
      <c r="A250" s="21" t="s">
        <v>137</v>
      </c>
    </row>
    <row r="251" spans="1:1" ht="20.100000000000001" customHeight="1" x14ac:dyDescent="0.2">
      <c r="A251" s="23" t="s">
        <v>138</v>
      </c>
    </row>
    <row r="252" spans="1:1" ht="20.100000000000001" customHeight="1" x14ac:dyDescent="0.2">
      <c r="A252" s="24" t="s">
        <v>139</v>
      </c>
    </row>
    <row r="253" spans="1:1" ht="20.100000000000001" customHeight="1" x14ac:dyDescent="0.2">
      <c r="A253" s="21" t="s">
        <v>140</v>
      </c>
    </row>
    <row r="254" spans="1:1" ht="20.100000000000001" customHeight="1" x14ac:dyDescent="0.2">
      <c r="A254" s="21" t="s">
        <v>141</v>
      </c>
    </row>
    <row r="255" spans="1:1" ht="20.100000000000001" customHeight="1" x14ac:dyDescent="0.2">
      <c r="A255" s="25" t="s">
        <v>142</v>
      </c>
    </row>
    <row r="256" spans="1:1" ht="20.100000000000001" customHeight="1" x14ac:dyDescent="0.2">
      <c r="A256" s="25" t="s">
        <v>143</v>
      </c>
    </row>
    <row r="257" spans="1:1" ht="20.100000000000001" customHeight="1" x14ac:dyDescent="0.2">
      <c r="A257" s="26" t="s">
        <v>144</v>
      </c>
    </row>
    <row r="258" spans="1:1" ht="20.100000000000001" customHeight="1" x14ac:dyDescent="0.2">
      <c r="A258" s="21" t="s">
        <v>145</v>
      </c>
    </row>
    <row r="259" spans="1:1" ht="20.100000000000001" customHeight="1" x14ac:dyDescent="0.2">
      <c r="A259" s="26" t="s">
        <v>146</v>
      </c>
    </row>
    <row r="260" spans="1:1" ht="20.100000000000001" customHeight="1" x14ac:dyDescent="0.2">
      <c r="A260" s="21" t="s">
        <v>147</v>
      </c>
    </row>
    <row r="261" spans="1:1" ht="20.100000000000001" customHeight="1" x14ac:dyDescent="0.2">
      <c r="A261" s="26" t="s">
        <v>148</v>
      </c>
    </row>
    <row r="262" spans="1:1" ht="20.100000000000001" customHeight="1" x14ac:dyDescent="0.2">
      <c r="A262" s="21" t="s">
        <v>149</v>
      </c>
    </row>
    <row r="263" spans="1:1" ht="20.100000000000001" customHeight="1" x14ac:dyDescent="0.2">
      <c r="A263" s="21" t="s">
        <v>150</v>
      </c>
    </row>
    <row r="264" spans="1:1" ht="20.100000000000001" customHeight="1" x14ac:dyDescent="0.2">
      <c r="A264" s="26" t="s">
        <v>151</v>
      </c>
    </row>
    <row r="265" spans="1:1" ht="20.100000000000001" customHeight="1" x14ac:dyDescent="0.2">
      <c r="A265" s="26" t="s">
        <v>152</v>
      </c>
    </row>
    <row r="266" spans="1:1" ht="20.100000000000001" customHeight="1" x14ac:dyDescent="0.2">
      <c r="A266" s="26" t="s">
        <v>153</v>
      </c>
    </row>
    <row r="267" spans="1:1" ht="20.100000000000001" customHeight="1" x14ac:dyDescent="0.2">
      <c r="A267" s="21" t="s">
        <v>154</v>
      </c>
    </row>
    <row r="268" spans="1:1" ht="20.100000000000001" customHeight="1" x14ac:dyDescent="0.2">
      <c r="A268" s="21" t="s">
        <v>155</v>
      </c>
    </row>
    <row r="269" spans="1:1" ht="20.100000000000001" customHeight="1" x14ac:dyDescent="0.2">
      <c r="A269" s="21" t="s">
        <v>156</v>
      </c>
    </row>
    <row r="270" spans="1:1" ht="20.100000000000001" customHeight="1" x14ac:dyDescent="0.2">
      <c r="A270" s="21" t="s">
        <v>157</v>
      </c>
    </row>
    <row r="271" spans="1:1" ht="20.100000000000001" customHeight="1" x14ac:dyDescent="0.2">
      <c r="A271" s="26" t="s">
        <v>158</v>
      </c>
    </row>
    <row r="272" spans="1:1" ht="20.100000000000001" customHeight="1" x14ac:dyDescent="0.2">
      <c r="A272" s="26" t="s">
        <v>159</v>
      </c>
    </row>
    <row r="273" spans="1:1" ht="20.100000000000001" customHeight="1" x14ac:dyDescent="0.2">
      <c r="A273" s="21" t="s">
        <v>160</v>
      </c>
    </row>
    <row r="274" spans="1:1" ht="20.100000000000001" customHeight="1" x14ac:dyDescent="0.2">
      <c r="A274" s="26" t="s">
        <v>161</v>
      </c>
    </row>
    <row r="275" spans="1:1" ht="20.100000000000001" customHeight="1" x14ac:dyDescent="0.2">
      <c r="A275" s="26" t="s">
        <v>162</v>
      </c>
    </row>
    <row r="276" spans="1:1" ht="20.100000000000001" customHeight="1" x14ac:dyDescent="0.2">
      <c r="A276" s="21" t="s">
        <v>163</v>
      </c>
    </row>
    <row r="277" spans="1:1" ht="20.100000000000001" customHeight="1" x14ac:dyDescent="0.2">
      <c r="A277" s="21" t="s">
        <v>164</v>
      </c>
    </row>
    <row r="278" spans="1:1" ht="20.100000000000001" customHeight="1" x14ac:dyDescent="0.2">
      <c r="A278" s="26" t="s">
        <v>165</v>
      </c>
    </row>
    <row r="279" spans="1:1" ht="20.100000000000001" customHeight="1" x14ac:dyDescent="0.2">
      <c r="A279" s="21" t="s">
        <v>166</v>
      </c>
    </row>
    <row r="280" spans="1:1" ht="20.100000000000001" customHeight="1" x14ac:dyDescent="0.2">
      <c r="A280" s="21" t="s">
        <v>167</v>
      </c>
    </row>
    <row r="281" spans="1:1" ht="20.100000000000001" customHeight="1" x14ac:dyDescent="0.2">
      <c r="A281" s="21" t="s">
        <v>168</v>
      </c>
    </row>
    <row r="282" spans="1:1" ht="20.100000000000001" customHeight="1" x14ac:dyDescent="0.2">
      <c r="A282" s="21" t="s">
        <v>169</v>
      </c>
    </row>
    <row r="283" spans="1:1" ht="20.100000000000001" customHeight="1" x14ac:dyDescent="0.2">
      <c r="A283" s="26" t="s">
        <v>170</v>
      </c>
    </row>
    <row r="284" spans="1:1" ht="20.100000000000001" customHeight="1" x14ac:dyDescent="0.2">
      <c r="A284" s="26" t="s">
        <v>171</v>
      </c>
    </row>
    <row r="285" spans="1:1" ht="20.100000000000001" customHeight="1" x14ac:dyDescent="0.2">
      <c r="A285" s="26" t="s">
        <v>172</v>
      </c>
    </row>
    <row r="286" spans="1:1" ht="20.100000000000001" customHeight="1" thickBot="1" x14ac:dyDescent="0.25">
      <c r="A286" s="21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2025-09-22T05:33:45Z</dcterms:modified>
</cp:coreProperties>
</file>