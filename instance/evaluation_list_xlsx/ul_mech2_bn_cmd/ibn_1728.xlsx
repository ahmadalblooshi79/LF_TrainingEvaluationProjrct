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8ED248E-8B95-4D1B-B819-AB44D49273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59" i="2"/>
  <c r="H59" i="2"/>
  <c r="G60" i="2"/>
  <c r="H60" i="2"/>
  <c r="G62" i="2"/>
  <c r="H62" i="2"/>
  <c r="G63" i="2"/>
  <c r="H63" i="2"/>
  <c r="G64" i="2"/>
  <c r="H64" i="2"/>
  <c r="G65" i="2"/>
  <c r="H65" i="2"/>
  <c r="G66" i="2"/>
  <c r="H66" i="2"/>
  <c r="G67" i="2"/>
  <c r="H67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F96" i="2"/>
  <c r="E96" i="2"/>
  <c r="E97" i="2"/>
  <c r="E98" i="2"/>
</calcChain>
</file>

<file path=xl/sharedStrings.xml><?xml version="1.0" encoding="utf-8"?>
<sst xmlns="http://schemas.openxmlformats.org/spreadsheetml/2006/main" count="325" uniqueCount="269">
  <si>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</si>
  <si>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</si>
  <si>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</si>
  <si>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</si>
  <si>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</si>
  <si>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</si>
  <si>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</si>
  <si>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</si>
  <si>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</si>
  <si>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</si>
  <si>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</si>
  <si>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</si>
  <si>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</si>
  <si>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</si>
  <si>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</si>
  <si>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</si>
  <si>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</si>
  <si>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</si>
  <si>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</si>
  <si>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</si>
  <si>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</si>
  <si>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</si>
  <si>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</si>
  <si>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</si>
  <si>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</si>
  <si>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</si>
  <si>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</si>
  <si>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</si>
  <si>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</si>
  <si>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</si>
  <si>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</si>
  <si>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</si>
  <si>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</si>
  <si>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</si>
  <si>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</si>
  <si>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</si>
  <si>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</si>
  <si>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</si>
  <si>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</si>
  <si>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</si>
  <si>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</si>
  <si>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</si>
  <si>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</si>
  <si>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</si>
  <si>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</si>
  <si>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</si>
  <si>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</si>
  <si>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</si>
  <si>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</si>
  <si>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</si>
  <si>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</si>
  <si>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</si>
  <si>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</si>
  <si>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</si>
  <si>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</si>
  <si>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</si>
  <si>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</si>
  <si>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</si>
  <si>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</si>
  <si>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</si>
  <si>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</si>
  <si>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</si>
  <si>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</si>
  <si>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</si>
  <si>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</si>
  <si>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</si>
  <si>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</si>
  <si>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</si>
  <si>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</si>
  <si>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</si>
  <si>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</si>
  <si>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</si>
  <si>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</si>
  <si>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</si>
  <si>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</si>
  <si>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</si>
  <si>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</si>
  <si>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</si>
  <si>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</si>
  <si>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</si>
  <si>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</si>
  <si>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</si>
  <si>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</si>
  <si>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</si>
  <si>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</si>
  <si>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</si>
  <si>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</si>
  <si>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</si>
  <si>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</si>
  <si>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</si>
  <si>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</si>
  <si>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</si>
  <si>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</si>
  <si>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</si>
  <si>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</si>
  <si>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</si>
  <si>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</si>
  <si>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</si>
  <si>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</si>
  <si>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</si>
  <si>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</si>
  <si>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</si>
  <si>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</si>
  <si>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</si>
  <si>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</si>
  <si>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</si>
  <si>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</si>
  <si>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</si>
  <si>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</si>
  <si>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</si>
  <si>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</si>
  <si>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</si>
  <si>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</si>
  <si>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</si>
  <si>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</si>
  <si>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</si>
  <si>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</si>
  <si>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</si>
  <si>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</si>
  <si>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</si>
  <si>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</si>
  <si>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</si>
  <si>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</si>
  <si>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</si>
  <si>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</si>
  <si>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</si>
  <si>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</si>
  <si>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</si>
  <si>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</si>
  <si>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</si>
  <si>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</si>
  <si>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</si>
  <si>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</si>
  <si>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</si>
  <si>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</si>
  <si>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</si>
  <si>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</si>
  <si>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</si>
  <si>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</si>
  <si>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</si>
  <si>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</si>
  <si>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</si>
  <si>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</si>
  <si>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</si>
  <si>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</si>
  <si>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</si>
  <si>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</si>
  <si>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</si>
  <si>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</si>
  <si>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</si>
  <si>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</si>
  <si>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</si>
  <si>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</si>
  <si>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</si>
  <si>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</si>
  <si>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</si>
  <si>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</si>
  <si>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</si>
  <si>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</si>
  <si>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</si>
  <si>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</si>
  <si>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</si>
  <si>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</si>
  <si>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</si>
  <si>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</si>
  <si>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</si>
  <si>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</si>
  <si>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</si>
  <si>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</si>
  <si>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</si>
  <si>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</si>
  <si>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</si>
  <si>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</si>
  <si>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</si>
  <si>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</si>
  <si>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</si>
  <si>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</si>
  <si>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</si>
  <si>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</si>
  <si>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</si>
  <si>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</si>
  <si>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يقوم القادة بفهم الموقف باستخدام كافة الوسائل المتوفرة.</t>
  </si>
  <si>
    <t>2.   تستلم قيادة وحدة المناورة أمر العمليات أو الأمر المجزأ لتنفيذ عملية التنقل التعبوي ويتم البدء بإجراءات التخطيط وكما يلي:</t>
  </si>
  <si>
    <t>أ.   تحديد متطلبات التنقل.</t>
  </si>
  <si>
    <t>ب.  طلب المنتجات الاستخبارية المحدّثة من المستوى الأعلى في حالة عدم استلامها مع أمر العمليات.</t>
  </si>
  <si>
    <t>3.   تنفيذ الاستطلاع من الخارطة لتحديد ما يلي:</t>
  </si>
  <si>
    <t>أ.   طريق/ طرق التنقل في حالة عدم تحديدها في أمر المستوى الأعلى.</t>
  </si>
  <si>
    <t>ب.  مقتربات العدو الأكثر احتمالاً (في حال كان التماس مع العدو متوقعاً).</t>
  </si>
  <si>
    <t>جـ.  نقطة البدء ونقطة الانتشار.</t>
  </si>
  <si>
    <t>د.   المناطق الحرجة، مثل المناطق الخطرة، الممرات الضيقة، الخوانق، نقاط السيطرة على المسير.</t>
  </si>
  <si>
    <t>هـ.   منطقة التجمع ومنطقة المأوى.</t>
  </si>
  <si>
    <t>و.   تحديد أماكن الكمائن المعادية المحتملة وإجراءات التعامل معها.</t>
  </si>
  <si>
    <t>4.   البدء بالتحضير الاستخباري لميدان المعركة وكما يلي:</t>
  </si>
  <si>
    <t>أ.   استخدام جميع مصادر جمع المعلومات المتوفرة.</t>
  </si>
  <si>
    <t>ب.  تحديد بيئة ميدان المعركة وتأثيراتها على عملية التنقل.</t>
  </si>
  <si>
    <t>جـ.  تقييم العدو الذي قد يتم مواجهته خلال عملية التنقل.</t>
  </si>
  <si>
    <t>د.   تحديد أعمال العدو المحتملة خلال عملية التنقل.</t>
  </si>
  <si>
    <t>5.   استخدام عناصر الاستطلاع والمراقبة مبكراً للمساعدة في عملية التخطيط (حسب الحاجة).</t>
  </si>
  <si>
    <t>6.   تنظيم الوحدات المرؤوسة في وحدة المناورة إلى عنصر الاستطلاع، جماعة المأوى، الجسم الرئيسي، حرس الأجنحة والمؤخرة وحسب الحاجة.</t>
  </si>
  <si>
    <t>7.   وضع إجراءات السيطرة للمساعدة في عملية التنقل وكما يلي:</t>
  </si>
  <si>
    <t>أ.   وضع أولويات التنقل للوحدات المرؤوسة.</t>
  </si>
  <si>
    <t>ب.  تحديد أسلوب التنقل الذي سيتم استخدامه (رتل واحد أو عدة ارتال).</t>
  </si>
  <si>
    <t>جـ.  تحديد معدل سرعة المسير.</t>
  </si>
  <si>
    <t>د.   تحديد المسافات الفاصلة بين الآليات.</t>
  </si>
  <si>
    <t>هـ.   تحديد الوقت الذي تجتاز فيه مقدمة أو ذيل الرتل النقاط الحرجة.</t>
  </si>
  <si>
    <t>و.   تحديد أماكن ونقاط التوقف المبرمج حسب الحاجة.</t>
  </si>
  <si>
    <t>8.   تحديد إجراءات الحماية التي سيتم تطبيقها قبل بدء التنقل، أثناء التنقل وبعد الوصول.</t>
  </si>
  <si>
    <t>9.   دمج ومزامنة عناصر الإسناد القتالي وكما يلي:</t>
  </si>
  <si>
    <t>أ.   تخطيط الإسناد الهندسي.</t>
  </si>
  <si>
    <t>(1)    دمج الهندسة مع جهود الاستطلاع وحسب الضرورة.</t>
  </si>
  <si>
    <t>(2)    دمج المتطلبات الاستخبارية المتعلقة بالموانع في المتطلبات الاستخبارية ذات الأولوية وخطة الاستطلاع والمراقبة.</t>
  </si>
  <si>
    <t>(3)    التأكد من أن المعلومات الاستخبارية المتعلقة بالموانع قد تم توزيعها مباشرة على كافة المعنيين.</t>
  </si>
  <si>
    <t>(4)    تحديد واجبات قابلية الحركة المطلوبة.</t>
  </si>
  <si>
    <t>(5)    التخطيط لزرع حقول ألغام منثورة لتعزيز الحماية على الأجنحة والدفاع السريع وحسب الطلب.</t>
  </si>
  <si>
    <t>ب.  تخطيط وتنسيق إسناد الدفاع الجوي ( في حال توفره):</t>
  </si>
  <si>
    <t>(1)    التأكد من وجود تغطية كافية أثناء التنقل وأثناء العمل في منطقة التجمع.</t>
  </si>
  <si>
    <t>(2)    التخطيط لزيادة التغطية الجوية والصاروخية للمناطق التي تكون فيها الوحدات عرضة للهجمات الجوية المعادية.</t>
  </si>
  <si>
    <t>جـ.  التخطيط للتعامل مع أسلحة الدمار الشامل:</t>
  </si>
  <si>
    <t>(1) دمج عناصر استطلاع أسلحة الدمار الشامل في خطة الاستطلاع والمراقبة.</t>
  </si>
  <si>
    <t>(2) إعداد خطة لإبلاغ الوحدات المرؤوسة عن وجود تهديد باستخدام العدو أسلحة الدمار الشامل فوراً حال كشفها.</t>
  </si>
  <si>
    <t>(3)    إعداد خطط التطهير وتوزيع المعلومات المتعلقة بمواقع التطهير العاملة والمخطط لها.</t>
  </si>
  <si>
    <t>د.   التخطيط لاستخدام النيران غير المباشرة:</t>
  </si>
  <si>
    <t>(1)    دمج النيران غير المباشرة مع خطة الحركة.</t>
  </si>
  <si>
    <t>(2)    تحديد أولوية النيران غير المباشرة أثناء الحركة.</t>
  </si>
  <si>
    <t>(3)    التخطيط لنيران الإعماء/ الحجب والخداع وحسب الحاجة.</t>
  </si>
  <si>
    <t>(4)    التخطيط لإسناد عناصر الاستطلاع بالنيران غير المباشرة.</t>
  </si>
  <si>
    <t>10.   التخطيط للإدامة:</t>
  </si>
  <si>
    <t>أ.   دمج حركة وتوضيع عناصر الإدامة مع خطة الحركة لضمان تقديم الإسناد الفوري للمتطلبات المتوقعة مثل إعادة التزويد بالوقود.</t>
  </si>
  <si>
    <t>ب.  التأكد من توفر الإدامة الكافية لإسناد جهود الاستطلاع والمراقبة.</t>
  </si>
  <si>
    <t>جـ.  تخطيط وتنسيق عمليات إخلاء الإصابات.</t>
  </si>
  <si>
    <t>د.   تخطيط عمليات إنقاذ المعدات.</t>
  </si>
  <si>
    <t>11.   تنفيذ التنسيق مع الوحدات المعنية فيما يتعلق بالمرور من خلال القوات إذا كانت خطة الحركة تتضمن ذلك.</t>
  </si>
  <si>
    <t>أ.   التأكد من توفر الطرق والظروف المناسبة للتنقل إذا لم يتم تحديد الطرق من قبل المستوى الأعلى.</t>
  </si>
  <si>
    <t>ب.  التأكد من ملائمة نقطة البدء ونقطة الانتشار.</t>
  </si>
  <si>
    <t>جـ.  التأكد من المسافة بين نقاط الضبط والسيطرة على الطرق والمسافة الكلية من نقطة البدء وحتى نقطة الانتشار.</t>
  </si>
  <si>
    <t>د.   التأكد من موقع منطقة التجمع أو المأوى.</t>
  </si>
  <si>
    <t>هـ.   التأكد من مواقع نقاط الضبط والسيطرة على الطريق عند الطلب.</t>
  </si>
  <si>
    <t>و.   تحديد وتأشير الموانع.</t>
  </si>
  <si>
    <t>مرحلة التحضير</t>
  </si>
  <si>
    <t>1.   تقوم وحدة المناورة بالتحضير للتنقل التعبوي كما يلي:</t>
  </si>
  <si>
    <t>أ.   قيام كل وحدة مرؤوسة باستطلاع الطريق المؤدي إلى نقطة البدء وتحديد الوقت الدقيق للوصول إليها.</t>
  </si>
  <si>
    <t>ب.  تنفيذ تفقدات وتفتيشات ما قبل المعركة.</t>
  </si>
  <si>
    <t>جـ.  الإشراف على إجراءات الوحدات المرؤوسة للتأكد من أن جهود التخطيط والتحضير تجري في الاتجاه الصحيح وتتوافق مع قصد القائد.</t>
  </si>
  <si>
    <t>د.   إجراء التجارب خلال ساعات النهار وفي ظل ظروف الرؤية المحدودة إن أمكن.</t>
  </si>
  <si>
    <t>هـ.   تحميل كافة الآليات وفقاً لخطة التحميل وخطة الإدامة.</t>
  </si>
  <si>
    <t>و.   إيجاز الأدلاء وتوزيعهم في مواقعهم.</t>
  </si>
  <si>
    <t>ز.   فحص أجهزة الاتصالات ونظام القيادة والسيطرة في كافة الآليات قبل البدء بالحركة.</t>
  </si>
  <si>
    <t>2.   إيجاز وإرسال جماعة المأوى للأمام.</t>
  </si>
  <si>
    <t>3.   توضيع عناصر وحدة المناورة ضمن نظام المسير الصحيح.</t>
  </si>
  <si>
    <t>مرحلة التنفيذ</t>
  </si>
  <si>
    <t>1.   اجتياز نقطة البدء في الوقت المحدد في أمر العمليات أو الأمر المجزأ.</t>
  </si>
  <si>
    <r>
      <t xml:space="preserve">2.   استخدام التشكيلة المحددة، أسلوب التنقل ومعدل المسير، والمحافظة على السرعة الملائمة للوصول إلى نقاط الضبط والسيطرة في الأوقات كما في </t>
    </r>
    <r>
      <rPr>
        <sz val="12"/>
        <color rgb="FF000000"/>
        <rFont val="Arial"/>
        <family val="2"/>
      </rPr>
      <t>أمر العمليات</t>
    </r>
    <r>
      <rPr>
        <sz val="12"/>
        <color theme="1"/>
        <rFont val="Arial"/>
        <family val="2"/>
      </rPr>
      <t>.</t>
    </r>
  </si>
  <si>
    <t>3.   استخدام إشارات الميدان البصرية أو الأجهزة اللاسلكية للاتصال مع الوحدات وبما يتوافق مع أمر العمليات والأوامر التعبوية المستديمة.</t>
  </si>
  <si>
    <t>4.   إدامة المراقبة لجميع الجهات بما في ذلك المراقبة الجوية أثناء الحركة والوقفات.</t>
  </si>
  <si>
    <r>
      <t xml:space="preserve">5.   تمرير المعلومات عند اجتياز نقاط الضبط والسيطرة بما يتوافق مع أمر العمليات </t>
    </r>
    <r>
      <rPr>
        <sz val="12"/>
        <color rgb="FF000000"/>
        <rFont val="Arial"/>
        <family val="2"/>
      </rPr>
      <t>والأوامر التعبوية المستديمة.</t>
    </r>
  </si>
  <si>
    <r>
      <t xml:space="preserve">6.    تنفيذ الوقفات المبرمجة ضمن المسافات الاعتيادية وبما يتوافق مع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 xml:space="preserve"> في حالة سمح الموقف التعبوي بذلك، والقيام بإجراء الصيانة الوقائية وإعادة التزود بالوقود عند الضرورة.</t>
    </r>
  </si>
  <si>
    <t>7.    التعامل مع الموانع حسب الأوامر.</t>
  </si>
  <si>
    <t>8.    تمرير مواقع الوحدات للمستوى الأعلى وحسب الطلب.</t>
  </si>
  <si>
    <r>
      <t xml:space="preserve">9.   تطبيق إجراءات التماس مع قوات العدو حسب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>.</t>
    </r>
  </si>
  <si>
    <t>10.   تنفيذ عمليات التزويد حسب الحاجة.</t>
  </si>
  <si>
    <t>11.   تنفيذ عمليات الصيانة والإنقاذ حسب الحاجة.</t>
  </si>
  <si>
    <t>12.   الوصول إلى نقاط الانتشار واجتيازها من قبل الوحدات حسب الوقت المحدد في أمر العمليات.</t>
  </si>
  <si>
    <t>13.   تمرير المعلومات الوصول إلى نقاط الانتشار واتمام اجتيازها دون توقف.</t>
  </si>
  <si>
    <t>14.   الالتقاء مع الأدلاء جماعة المأوى/ منطقة التجمع.</t>
  </si>
  <si>
    <t>15.   تطبيق الانتشار وإجراءات التخفية والتمويه الملائمة.</t>
  </si>
  <si>
    <t>16.   التقيد بقواعد الاشتباك وقواعد التعامل مع المدنيين.</t>
  </si>
  <si>
    <t>12.   إصدار الأوامر المرؤوسين، وتقديم إيجازات تأكيدية من القادة المرؤوسين فور استلامهم للأوامر للتأكد من فهمهم لقصد القائد ومفهوم عملياته.</t>
  </si>
  <si>
    <t xml:space="preserve">13.   قد تقوم قيادة وحدة المناورة (حسب الحاجة) بتكليف بعض الوحدات للعمل كعناصر استطلاع لتنفيذ الواجبات الموكلة لها وتتمثل بما يلي: </t>
  </si>
  <si>
    <r>
      <rPr>
        <b/>
        <sz val="14"/>
        <color rgb="FF000000"/>
        <rFont val="Arial"/>
        <family val="2"/>
      </rPr>
      <t>تقييم التنقل التعبوي من منطقة الحشد إلى منطقة التجمع الأمامية (الكتائب)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</si>
</sst>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6" fillId="0" borderId="31" xfId="0" applyFont="1" applyBorder="1" applyAlignment="1" applyProtection="1">
      <alignment horizontal="right" vertical="center" wrapText="1" readingOrder="2"/>
      <protection locked="0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3" fillId="6" borderId="27" xfId="0" applyFont="1" applyFill="1" applyBorder="1" applyAlignment="1">
      <alignment horizontal="right" vertical="center" wrapText="1" readingOrder="2"/>
    </xf>
    <xf numFmtId="0" fontId="13" fillId="6" borderId="28" xfId="0" applyFont="1" applyFill="1" applyBorder="1" applyAlignment="1">
      <alignment horizontal="right" vertical="center" wrapText="1" readingOrder="2"/>
    </xf>
    <xf numFmtId="0" fontId="13" fillId="6" borderId="29" xfId="0" applyFont="1" applyFill="1" applyBorder="1" applyAlignment="1">
      <alignment horizontal="right" vertical="center" wrapText="1" readingOrder="2"/>
    </xf>
    <xf numFmtId="0" fontId="13" fillId="6" borderId="30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4" readingOrder="2"/>
    </xf>
    <xf numFmtId="0" fontId="14" fillId="5" borderId="3" xfId="0" applyFont="1" applyFill="1" applyBorder="1" applyAlignment="1">
      <alignment horizontal="right" vertical="center" wrapText="1" indent="4" readingOrder="2"/>
    </xf>
    <xf numFmtId="0" fontId="14" fillId="5" borderId="24" xfId="0" applyFont="1" applyFill="1" applyBorder="1" applyAlignment="1">
      <alignment horizontal="right" vertical="center" wrapText="1" indent="3" readingOrder="2"/>
    </xf>
    <xf numFmtId="0" fontId="14" fillId="5" borderId="14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479587</xdr:colOff>
      <xdr:row>97</xdr:row>
      <xdr:rowOff>197498</xdr:rowOff>
    </xdr:from>
    <xdr:to>
      <xdr:col>9</xdr:col>
      <xdr:colOff>414033</xdr:colOff>
      <xdr:row>100</xdr:row>
      <xdr:rowOff>158334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3F2EF8-382E-578E-B50B-B0CF1EC742C7}"/>
                </a:ext>
              </a:extLst>
            </xdr14:cNvPr>
            <xdr14:cNvContentPartPr/>
          </xdr14:nvContentPartPr>
          <xdr14:nvPr macro=""/>
          <xdr14:xfrm>
            <a:off x="10435979531" y="48757680"/>
            <a:ext cx="1908720" cy="1526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3F2EF8-382E-578E-B50B-B0CF1EC742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5970891" y="48749040"/>
              <a:ext cx="1926360" cy="1544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59:37.7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3549 3928 14571,'0'0'0,"-21"-3"1952,3-2-472,-1-1-39,19 6-1441,-16-3 1192,16-2-136,-5 0-320,0-9-272,5 14-464,0 0 376,0-3-256,0-2-23,0-1-81,0 6-16,0-5-48,3 0 96,10-8-64,-13 9 40,0 4-24,5-13 32,2 7 16,-2-9 80,0 1-24,-5 14-104,2-13 184,-2-3 16,0-1 40,-2 0 16,2 17-256,-5-20 168,-12-2 16,6-2 72,11 24-256,-7-24 168,-5-7 40,-1 1-24,-2-5-24,10 0 24,5 35-184,-16-33 216,12-1 0,-11 3-16,11 1-24,4 30-176,-14-29 88,14-2 16,-2 0-208,-14 2 144,16 29-40,-3-27 80,-11 1-304,14 1 416,-5 3-296,5 22 104,-13-24-176,8 3 296,-10 1-240,13-1 120,2 21 0,-2-18 120,-5-1 128,-7 0 88,14 2 32,0 17-368,-2-19 297,-3 0-129,0 2-128,5 17-40,-2-17 48,2 0 8,0 2 8,0 10-96,-4-12 104,4 17-72,-3-5 120,-1-1 16,4-7 64,0 13-64,0 0-136,-3-4 56,1 4-24,-3 0 88,5-3-168,0 3 48,0-3 48,0 3-120,2-4 56,1 1 104,-3 3-88,5-4-32,-1 1-104,15 0 80,-3-3 24,-16 6 32,16-15-32,1 12 288,1-11-240,1 11 0,-19 3-16,16-6 16,7-11-120,1 12 192,-3-10-144,-21 15 56,30-5 40,3-16-112,5 8-96,3-6 104,-41 19 64,45-19-88,2-5-32,8 0 240,1 1 80,-56 23-200,56-24 16,5 0 296,5 0-328,-1-3-88,-65 27 104,69-26 48,4-1-96,-1-1 0,3 5-96,-75 23 144,74-23-16,1 1 16,-2 2 40,-2 1 176,-71 19-216,71-17 16,-6 2 120,0 1-104,-4 9 8,-61 5-40,52-17 64,-4 13-112,-3-1 48,-5-8-104,-40 13 104,35 0 48,-12 0-184,-7 0 224,-11 0-24,-5 0-64,7 0-32,-7 0 232,0 5-160,-16 12 208,16-17-248,-26 22 216,-12 9-48,-13 4 80,-14 10-328,65-45 80,-78 49 16,-12 6 48,-11 5-232,-8 1 384,109-61-216,-121 65 48,-10 5-224,-11 3 352,-5 6-320,147-79 144,-159 85-920,-2 0 536,7 4 312,-10 1-64,164-90 136,-156 89 808,-5 1-392,0 1-544,5-8 224,156-83-96,-150 84 88,11-6-24,11-9-48,6-3 64,122-66-80,-114 62 0,13-4 40,1-6-96,19-2-1536,81-50 1592,-38 22-528,1 2 7,4-4 289,33-20 232,-33 21 1129,33-21-1129,-23 15 0,0-1 0,9-9-88,-1 0 0,15-5 88,0 4-96,0-4 40,27-19-120,19-12 24,-46 31 152,52-37-176,11-8 352,-5-3 184,17 2 88,-75 46-448,76-53 576,4 1-440,-4-1-72,-3-2-96,-73 55 32,77-54-64,-7-4 48,2-2 112,-2-2-128,-70 62 32,68-58 32,0 6-112,-8 4 8,-6 5-144,-54 43 216,47-37-56,-7 8 24,-12 3-64,-8 9 264,-20 17-168,12-5-136,-9 1 120,1 4-104,0 0 136,-4 0-16,-4 0 32,-22 2 24,-7 17 128,-13 3-256,46-22 72,-52 31 208,-6 5-112,-10 5-56,-8 1 40,76-42-80,-80 46-32,6 4 16,-1 1 80,0-2 40,75-49-104,-77 46-40,3-5-24,1-5 80,8-3-16,65-33 0,-58 30 16,2-6 88,11-7-152,18-1 24,27-16 24,-20 3 192,17 0-112,-2-1-48,5-2 56,0 0-88,0-3-88,20-14 24,3 3 48,4-6-88,-27 20 104,33-24-32,-1-2-88,12-1 152,-9-2 8,-35 29-40,38-27 16,-3-1-16,0 4-48,2 4 48,-37 20 0,35-21 64,-3 4 40,-8 2-104,-3 10 32,-21 5-32,23-15-40,-11 15 96,-7-4-56,2 4 0,-7 0 0,0 0 48,2 0-96,-2 0 96,0 0-112,0 0 64,0 2-16,-5 1 32,1 1 96,-16 1-8,20-5-104,-13 3 48,-2-1 16,2 0-80,-6-2 88,19 0-72,-16 0 128,4 0-208,-4-6 240,-1 1-104,17 5-56,-5-5 32,-15 0 296,15-9-232,0 14 24,5 0-120,-11-5 144,11-10-80,0 12 16,5-11 16,-5 14-96,11-5 8,-9-11-80,6 11 88,5-12-96,-13 17 80,0-3 0,5-2-48,0-9 48,-3 14 32,-2 0-32,0 0 48,0-3 104,0-1-40,-5 1-272,5 3 160,0-4-104,-5 1-24,3 0-232,2-2 424,0 5-64,-4-14 0,-10 9 168,9-14 104,-16 2-88,21 17-184,-19-17 112,-2-2-584,-2-3 456,-2 0-592,25 22 608,-33-24-120,-2-2 288,-10 2-896,-10-1 528,55 25 200,-61-27-656,-9-2 296,-7 0 496,0-2-288,77 31 152,-92-33 256,2-1 248,-8-5-48,-8-4 160,106 43-616,-109-47 544,-9-5-416,3-2-96,-6-4 0,121 58-32,-115-65 280,13-10-608,2-7 264,8-10 32,92 92 32,-84-101-760,9-6 176,19-6-240,14-12 704,42 125 120,-20-133 120,20-3 440,14-13 72,27-6-864,-41 155 232,61-159-256,21 1-128,16 9-224,13 6 600,-111 143 8,131-131 40,12 8 336,23 7 264,15 12-488,-181 104-152,194-94 32,7 15-216,4 21-24,7 23 128,-212 35 80,208-17-80,2 17-8,-9 23 256,-10 15-184,-191-38 16,180 51-16,-3 17 168,-9 13-40,-16 6 224,-152-87-336,135 95 368,-21 4-448,-25 10-320,-15 11 312,-74-120 88,55 129-760,-23 9 936,-29 14 56,-23 3-432,20-155 200,-51 161 536,-31 4-616,-13 2 80,-26 9 80,121-176-80,-145 180 368,-20 4-120,-29-6-312,-14-1-352,208-177 416,-217 174-776,-9-5-456,-5-4-73,-7-6-1167,238-159 2472,-240 154-5361,4-6-7106,236-148 12467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0"/>
  <sheetViews>
    <sheetView rightToLeft="1" tabSelected="1" view="pageBreakPreview" topLeftCell="B1" zoomScale="130" zoomScaleNormal="100" zoomScaleSheetLayoutView="130" workbookViewId="0">
      <selection activeCell="G100" sqref="G100:J10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0" t="s">
        <v>268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3">
      <c r="B2" s="10" t="s">
        <v>8</v>
      </c>
      <c r="C2" s="76" t="s">
        <v>37</v>
      </c>
      <c r="D2" s="76"/>
      <c r="E2" s="10" t="s">
        <v>7</v>
      </c>
      <c r="F2" s="71">
        <v>45951</v>
      </c>
      <c r="G2" s="71"/>
      <c r="H2" s="71"/>
      <c r="I2" s="71"/>
      <c r="J2" s="71"/>
    </row>
    <row r="3" spans="1:10" ht="30" customHeight="1" x14ac:dyDescent="0.3">
      <c r="B3" s="10" t="s">
        <v>9</v>
      </c>
      <c r="C3" s="76" t="s">
        <v>77</v>
      </c>
      <c r="D3" s="76"/>
      <c r="E3" s="10" t="s">
        <v>6</v>
      </c>
      <c r="F3" s="76" t="s">
        <v>101</v>
      </c>
      <c r="G3" s="76"/>
      <c r="H3" s="76"/>
      <c r="I3" s="76"/>
      <c r="J3" s="76"/>
    </row>
    <row r="4" spans="1:10" ht="30" customHeight="1" thickBot="1" x14ac:dyDescent="0.35">
      <c r="B4" s="6"/>
      <c r="C4" s="37"/>
      <c r="D4" s="37"/>
      <c r="E4" s="6"/>
      <c r="F4" s="37"/>
      <c r="G4" s="37"/>
      <c r="H4" s="37"/>
      <c r="I4" s="37"/>
      <c r="J4" s="37"/>
    </row>
    <row r="5" spans="1:10" ht="24.9" customHeight="1" x14ac:dyDescent="0.3">
      <c r="A5" s="8"/>
      <c r="B5" s="72" t="s">
        <v>0</v>
      </c>
      <c r="C5" s="73"/>
      <c r="D5" s="73"/>
      <c r="E5" s="81" t="s">
        <v>1</v>
      </c>
      <c r="F5" s="81"/>
      <c r="G5" s="81"/>
      <c r="H5" s="81"/>
      <c r="I5" s="81" t="s">
        <v>2</v>
      </c>
      <c r="J5" s="82"/>
    </row>
    <row r="6" spans="1:10" ht="24.9" customHeight="1" thickBot="1" x14ac:dyDescent="0.35">
      <c r="A6" s="8"/>
      <c r="B6" s="74"/>
      <c r="C6" s="75"/>
      <c r="D6" s="75"/>
      <c r="E6" s="9" t="s">
        <v>3</v>
      </c>
      <c r="F6" s="9" t="s">
        <v>4</v>
      </c>
      <c r="G6" s="9" t="s">
        <v>23</v>
      </c>
      <c r="H6" s="9" t="s">
        <v>24</v>
      </c>
      <c r="I6" s="83"/>
      <c r="J6" s="84"/>
    </row>
    <row r="7" spans="1:10" ht="24.9" customHeight="1" thickBot="1" x14ac:dyDescent="0.35">
      <c r="A7" s="8"/>
      <c r="B7" s="79" t="s">
        <v>21</v>
      </c>
      <c r="C7" s="80"/>
      <c r="D7" s="80"/>
      <c r="E7" s="26" t="s">
        <v>18</v>
      </c>
      <c r="F7" s="26" t="s">
        <v>19</v>
      </c>
      <c r="G7" s="26" t="s">
        <v>22</v>
      </c>
      <c r="H7" s="26" t="s">
        <v>20</v>
      </c>
      <c r="I7" s="85" t="s">
        <v>25</v>
      </c>
      <c r="J7" s="86"/>
    </row>
    <row r="8" spans="1:10" ht="39.9" customHeight="1" x14ac:dyDescent="0.3">
      <c r="A8" s="8"/>
      <c r="B8" s="44" t="s">
        <v>180</v>
      </c>
      <c r="C8" s="45"/>
      <c r="D8" s="45"/>
      <c r="E8" s="45"/>
      <c r="F8" s="45"/>
      <c r="G8" s="45"/>
      <c r="H8" s="45"/>
      <c r="I8" s="45"/>
      <c r="J8" s="46"/>
    </row>
    <row r="9" spans="1:10" ht="39.9" customHeight="1" x14ac:dyDescent="0.3">
      <c r="A9" s="8"/>
      <c r="B9" s="41" t="s">
        <v>181</v>
      </c>
      <c r="C9" s="38"/>
      <c r="D9" s="38"/>
      <c r="E9" s="7">
        <v>5</v>
      </c>
      <c r="F9" s="24">
        <v>3.75</v>
      </c>
      <c r="G9" s="28">
        <f>IFERROR(F9/E9,"")</f>
        <v>0.75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9.9" customHeight="1" x14ac:dyDescent="0.3">
      <c r="A10" s="8"/>
      <c r="B10" s="41" t="s">
        <v>182</v>
      </c>
      <c r="C10" s="38"/>
      <c r="D10" s="38"/>
      <c r="E10" s="7"/>
      <c r="F10" s="24"/>
      <c r="G10" s="28"/>
      <c r="H10" s="29"/>
      <c r="I10" s="56"/>
      <c r="J10" s="57"/>
    </row>
    <row r="11" spans="1:10" ht="39.9" customHeight="1" x14ac:dyDescent="0.3">
      <c r="A11" s="8"/>
      <c r="B11" s="39" t="s">
        <v>183</v>
      </c>
      <c r="C11" s="40"/>
      <c r="D11" s="40"/>
      <c r="E11" s="7">
        <v>5</v>
      </c>
      <c r="F11" s="24">
        <v>3.5</v>
      </c>
      <c r="G11" s="28">
        <f t="shared" ref="G11:G72" si="0">IFERROR(F11/E11,"")</f>
        <v>0.7</v>
      </c>
      <c r="H11" s="29" t="str">
        <f t="shared" ref="H11:H72" si="1">_xlfn.IFS(F11="أدخل العلامة","",F11="لا ينطبق","تم الإلغاء",G11&gt;=90%,"ممتاز",G11&gt;=80%,"جيد جداً",G11&gt;=70%,"جيد",G11&gt;=60%,"مقبول",G11&lt;60%,"راسب")</f>
        <v>جيد</v>
      </c>
      <c r="I11" s="56"/>
      <c r="J11" s="57"/>
    </row>
    <row r="12" spans="1:10" ht="39.9" customHeight="1" x14ac:dyDescent="0.3">
      <c r="A12" s="8"/>
      <c r="B12" s="39" t="s">
        <v>184</v>
      </c>
      <c r="C12" s="40"/>
      <c r="D12" s="40"/>
      <c r="E12" s="7">
        <v>5</v>
      </c>
      <c r="F12" s="24">
        <v>3.5</v>
      </c>
      <c r="G12" s="28">
        <f t="shared" si="0"/>
        <v>0.7</v>
      </c>
      <c r="H12" s="29" t="str">
        <f t="shared" si="1"/>
        <v>جيد</v>
      </c>
      <c r="I12" s="56"/>
      <c r="J12" s="57"/>
    </row>
    <row r="13" spans="1:10" ht="39.9" customHeight="1" x14ac:dyDescent="0.3">
      <c r="A13" s="8"/>
      <c r="B13" s="41" t="s">
        <v>185</v>
      </c>
      <c r="C13" s="38"/>
      <c r="D13" s="38"/>
      <c r="E13" s="7"/>
      <c r="F13" s="24"/>
      <c r="G13" s="28"/>
      <c r="H13" s="29"/>
      <c r="I13" s="56"/>
      <c r="J13" s="57"/>
    </row>
    <row r="14" spans="1:10" ht="39.9" customHeight="1" x14ac:dyDescent="0.3">
      <c r="A14" s="8"/>
      <c r="B14" s="39" t="s">
        <v>186</v>
      </c>
      <c r="C14" s="40"/>
      <c r="D14" s="40"/>
      <c r="E14" s="7">
        <v>5</v>
      </c>
      <c r="F14" s="24">
        <v>3.5</v>
      </c>
      <c r="G14" s="28">
        <f t="shared" si="0"/>
        <v>0.7</v>
      </c>
      <c r="H14" s="29" t="str">
        <f t="shared" si="1"/>
        <v>جيد</v>
      </c>
      <c r="I14" s="56"/>
      <c r="J14" s="57"/>
    </row>
    <row r="15" spans="1:10" ht="39.9" customHeight="1" x14ac:dyDescent="0.3">
      <c r="A15" s="8"/>
      <c r="B15" s="39" t="s">
        <v>187</v>
      </c>
      <c r="C15" s="40"/>
      <c r="D15" s="40"/>
      <c r="E15" s="7">
        <v>5</v>
      </c>
      <c r="F15" s="24">
        <v>3.5</v>
      </c>
      <c r="G15" s="28">
        <f t="shared" si="0"/>
        <v>0.7</v>
      </c>
      <c r="H15" s="29" t="str">
        <f t="shared" si="1"/>
        <v>جيد</v>
      </c>
      <c r="I15" s="56"/>
      <c r="J15" s="57"/>
    </row>
    <row r="16" spans="1:10" ht="39.9" customHeight="1" x14ac:dyDescent="0.3">
      <c r="A16" s="8"/>
      <c r="B16" s="39" t="s">
        <v>188</v>
      </c>
      <c r="C16" s="40"/>
      <c r="D16" s="40"/>
      <c r="E16" s="7">
        <v>5</v>
      </c>
      <c r="F16" s="24">
        <v>3.75</v>
      </c>
      <c r="G16" s="28">
        <f t="shared" si="0"/>
        <v>0.75</v>
      </c>
      <c r="H16" s="29" t="str">
        <f t="shared" si="1"/>
        <v>جيد</v>
      </c>
      <c r="I16" s="56"/>
      <c r="J16" s="57"/>
    </row>
    <row r="17" spans="1:10" ht="39.9" customHeight="1" x14ac:dyDescent="0.3">
      <c r="A17" s="8"/>
      <c r="B17" s="39" t="s">
        <v>189</v>
      </c>
      <c r="C17" s="40"/>
      <c r="D17" s="40"/>
      <c r="E17" s="7">
        <v>5</v>
      </c>
      <c r="F17" s="24">
        <v>3.75</v>
      </c>
      <c r="G17" s="28">
        <f t="shared" si="0"/>
        <v>0.75</v>
      </c>
      <c r="H17" s="29" t="str">
        <f t="shared" si="1"/>
        <v>جيد</v>
      </c>
      <c r="I17" s="56"/>
      <c r="J17" s="57"/>
    </row>
    <row r="18" spans="1:10" ht="39.9" customHeight="1" x14ac:dyDescent="0.3">
      <c r="A18" s="8"/>
      <c r="B18" s="39" t="s">
        <v>190</v>
      </c>
      <c r="C18" s="40"/>
      <c r="D18" s="40"/>
      <c r="E18" s="7">
        <v>5</v>
      </c>
      <c r="F18" s="24">
        <v>3.75</v>
      </c>
      <c r="G18" s="28">
        <f t="shared" si="0"/>
        <v>0.75</v>
      </c>
      <c r="H18" s="29" t="str">
        <f t="shared" si="1"/>
        <v>جيد</v>
      </c>
      <c r="I18" s="56"/>
      <c r="J18" s="57"/>
    </row>
    <row r="19" spans="1:10" ht="39.9" customHeight="1" x14ac:dyDescent="0.3">
      <c r="A19" s="8"/>
      <c r="B19" s="39" t="s">
        <v>191</v>
      </c>
      <c r="C19" s="40"/>
      <c r="D19" s="40"/>
      <c r="E19" s="7">
        <v>5</v>
      </c>
      <c r="F19" s="24">
        <v>3.75</v>
      </c>
      <c r="G19" s="28">
        <f t="shared" si="0"/>
        <v>0.75</v>
      </c>
      <c r="H19" s="29" t="str">
        <f t="shared" si="1"/>
        <v>جيد</v>
      </c>
      <c r="I19" s="56"/>
      <c r="J19" s="57"/>
    </row>
    <row r="20" spans="1:10" ht="39.9" customHeight="1" x14ac:dyDescent="0.3">
      <c r="A20" s="8"/>
      <c r="B20" s="41" t="s">
        <v>192</v>
      </c>
      <c r="C20" s="38"/>
      <c r="D20" s="38"/>
      <c r="E20" s="7"/>
      <c r="F20" s="24"/>
      <c r="G20" s="28"/>
      <c r="H20" s="29"/>
      <c r="I20" s="56"/>
      <c r="J20" s="57"/>
    </row>
    <row r="21" spans="1:10" ht="39.9" customHeight="1" x14ac:dyDescent="0.3">
      <c r="A21" s="8"/>
      <c r="B21" s="39" t="s">
        <v>193</v>
      </c>
      <c r="C21" s="40"/>
      <c r="D21" s="40"/>
      <c r="E21" s="7">
        <v>5</v>
      </c>
      <c r="F21" s="24">
        <v>3.5</v>
      </c>
      <c r="G21" s="28">
        <f t="shared" si="0"/>
        <v>0.7</v>
      </c>
      <c r="H21" s="29" t="str">
        <f t="shared" si="1"/>
        <v>جيد</v>
      </c>
      <c r="I21" s="56"/>
      <c r="J21" s="57"/>
    </row>
    <row r="22" spans="1:10" ht="39.9" customHeight="1" x14ac:dyDescent="0.3">
      <c r="A22" s="8"/>
      <c r="B22" s="39" t="s">
        <v>194</v>
      </c>
      <c r="C22" s="40"/>
      <c r="D22" s="40"/>
      <c r="E22" s="7">
        <v>5</v>
      </c>
      <c r="F22" s="24">
        <v>3.75</v>
      </c>
      <c r="G22" s="28">
        <f t="shared" si="0"/>
        <v>0.75</v>
      </c>
      <c r="H22" s="29" t="str">
        <f t="shared" si="1"/>
        <v>جيد</v>
      </c>
      <c r="I22" s="56"/>
      <c r="J22" s="57"/>
    </row>
    <row r="23" spans="1:10" ht="39.9" customHeight="1" x14ac:dyDescent="0.3">
      <c r="A23" s="8"/>
      <c r="B23" s="39" t="s">
        <v>195</v>
      </c>
      <c r="C23" s="40"/>
      <c r="D23" s="40"/>
      <c r="E23" s="7">
        <v>5</v>
      </c>
      <c r="F23" s="24">
        <v>3.75</v>
      </c>
      <c r="G23" s="28">
        <f t="shared" si="0"/>
        <v>0.75</v>
      </c>
      <c r="H23" s="29" t="str">
        <f t="shared" si="1"/>
        <v>جيد</v>
      </c>
      <c r="I23" s="56"/>
      <c r="J23" s="57"/>
    </row>
    <row r="24" spans="1:10" ht="39.9" customHeight="1" x14ac:dyDescent="0.3">
      <c r="A24" s="8"/>
      <c r="B24" s="39" t="s">
        <v>196</v>
      </c>
      <c r="C24" s="40"/>
      <c r="D24" s="40"/>
      <c r="E24" s="7">
        <v>5</v>
      </c>
      <c r="F24" s="24">
        <v>3.75</v>
      </c>
      <c r="G24" s="28">
        <f t="shared" si="0"/>
        <v>0.75</v>
      </c>
      <c r="H24" s="29" t="str">
        <f t="shared" si="1"/>
        <v>جيد</v>
      </c>
      <c r="I24" s="56"/>
      <c r="J24" s="57"/>
    </row>
    <row r="25" spans="1:10" ht="39.9" customHeight="1" x14ac:dyDescent="0.3">
      <c r="A25" s="8"/>
      <c r="B25" s="41" t="s">
        <v>197</v>
      </c>
      <c r="C25" s="38"/>
      <c r="D25" s="38"/>
      <c r="E25" s="7">
        <v>5</v>
      </c>
      <c r="F25" s="24">
        <v>3.75</v>
      </c>
      <c r="G25" s="28">
        <f t="shared" si="0"/>
        <v>0.75</v>
      </c>
      <c r="H25" s="29" t="str">
        <f t="shared" si="1"/>
        <v>جيد</v>
      </c>
      <c r="I25" s="56"/>
      <c r="J25" s="57"/>
    </row>
    <row r="26" spans="1:10" ht="39.9" customHeight="1" x14ac:dyDescent="0.3">
      <c r="A26" s="8"/>
      <c r="B26" s="41" t="s">
        <v>198</v>
      </c>
      <c r="C26" s="38"/>
      <c r="D26" s="38"/>
      <c r="E26" s="7">
        <v>5</v>
      </c>
      <c r="F26" s="24">
        <v>3.75</v>
      </c>
      <c r="G26" s="28">
        <f t="shared" si="0"/>
        <v>0.75</v>
      </c>
      <c r="H26" s="29" t="str">
        <f t="shared" si="1"/>
        <v>جيد</v>
      </c>
      <c r="I26" s="56"/>
      <c r="J26" s="57"/>
    </row>
    <row r="27" spans="1:10" ht="39.9" customHeight="1" x14ac:dyDescent="0.3">
      <c r="A27" s="8"/>
      <c r="B27" s="41" t="s">
        <v>199</v>
      </c>
      <c r="C27" s="38"/>
      <c r="D27" s="38"/>
      <c r="E27" s="7"/>
      <c r="F27" s="24"/>
      <c r="G27" s="28"/>
      <c r="H27" s="29"/>
      <c r="I27" s="56"/>
      <c r="J27" s="57"/>
    </row>
    <row r="28" spans="1:10" ht="39.9" customHeight="1" x14ac:dyDescent="0.3">
      <c r="A28" s="8"/>
      <c r="B28" s="39" t="s">
        <v>200</v>
      </c>
      <c r="C28" s="40"/>
      <c r="D28" s="40"/>
      <c r="E28" s="7">
        <v>5</v>
      </c>
      <c r="F28" s="24">
        <v>3.75</v>
      </c>
      <c r="G28" s="28">
        <f t="shared" si="0"/>
        <v>0.75</v>
      </c>
      <c r="H28" s="29" t="str">
        <f t="shared" si="1"/>
        <v>جيد</v>
      </c>
      <c r="I28" s="56"/>
      <c r="J28" s="57"/>
    </row>
    <row r="29" spans="1:10" ht="39.9" customHeight="1" x14ac:dyDescent="0.3">
      <c r="A29" s="8"/>
      <c r="B29" s="39" t="s">
        <v>201</v>
      </c>
      <c r="C29" s="40"/>
      <c r="D29" s="40"/>
      <c r="E29" s="7">
        <v>5</v>
      </c>
      <c r="F29" s="24">
        <v>3.75</v>
      </c>
      <c r="G29" s="28">
        <f t="shared" si="0"/>
        <v>0.75</v>
      </c>
      <c r="H29" s="29" t="str">
        <f t="shared" si="1"/>
        <v>جيد</v>
      </c>
      <c r="I29" s="56"/>
      <c r="J29" s="57"/>
    </row>
    <row r="30" spans="1:10" ht="39.9" customHeight="1" x14ac:dyDescent="0.3">
      <c r="A30" s="8"/>
      <c r="B30" s="39" t="s">
        <v>202</v>
      </c>
      <c r="C30" s="40"/>
      <c r="D30" s="40"/>
      <c r="E30" s="7">
        <v>5</v>
      </c>
      <c r="F30" s="24">
        <v>3.75</v>
      </c>
      <c r="G30" s="28">
        <f t="shared" si="0"/>
        <v>0.75</v>
      </c>
      <c r="H30" s="29" t="str">
        <f t="shared" si="1"/>
        <v>جيد</v>
      </c>
      <c r="I30" s="56"/>
      <c r="J30" s="57"/>
    </row>
    <row r="31" spans="1:10" ht="39.9" customHeight="1" x14ac:dyDescent="0.3">
      <c r="A31" s="8"/>
      <c r="B31" s="39" t="s">
        <v>203</v>
      </c>
      <c r="C31" s="40"/>
      <c r="D31" s="40"/>
      <c r="E31" s="7">
        <v>5</v>
      </c>
      <c r="F31" s="24">
        <v>3.75</v>
      </c>
      <c r="G31" s="28">
        <f t="shared" si="0"/>
        <v>0.75</v>
      </c>
      <c r="H31" s="29" t="str">
        <f t="shared" si="1"/>
        <v>جيد</v>
      </c>
      <c r="I31" s="56"/>
      <c r="J31" s="57"/>
    </row>
    <row r="32" spans="1:10" ht="39.9" customHeight="1" x14ac:dyDescent="0.3">
      <c r="A32" s="8"/>
      <c r="B32" s="39" t="s">
        <v>204</v>
      </c>
      <c r="C32" s="40"/>
      <c r="D32" s="40"/>
      <c r="E32" s="7">
        <v>5</v>
      </c>
      <c r="F32" s="24">
        <v>3.5</v>
      </c>
      <c r="G32" s="28">
        <f t="shared" si="0"/>
        <v>0.7</v>
      </c>
      <c r="H32" s="29" t="str">
        <f t="shared" si="1"/>
        <v>جيد</v>
      </c>
      <c r="I32" s="56"/>
      <c r="J32" s="57"/>
    </row>
    <row r="33" spans="1:10" ht="39.9" customHeight="1" x14ac:dyDescent="0.3">
      <c r="A33" s="8"/>
      <c r="B33" s="39" t="s">
        <v>205</v>
      </c>
      <c r="C33" s="40"/>
      <c r="D33" s="40"/>
      <c r="E33" s="7">
        <v>5</v>
      </c>
      <c r="F33" s="24">
        <v>3.5</v>
      </c>
      <c r="G33" s="28">
        <f t="shared" si="0"/>
        <v>0.7</v>
      </c>
      <c r="H33" s="29" t="str">
        <f t="shared" si="1"/>
        <v>جيد</v>
      </c>
      <c r="I33" s="56"/>
      <c r="J33" s="57"/>
    </row>
    <row r="34" spans="1:10" ht="39.9" customHeight="1" x14ac:dyDescent="0.3">
      <c r="A34" s="8"/>
      <c r="B34" s="41" t="s">
        <v>206</v>
      </c>
      <c r="C34" s="38"/>
      <c r="D34" s="38"/>
      <c r="E34" s="7">
        <v>5</v>
      </c>
      <c r="F34" s="24">
        <v>3.5</v>
      </c>
      <c r="G34" s="28">
        <f t="shared" si="0"/>
        <v>0.7</v>
      </c>
      <c r="H34" s="29" t="str">
        <f t="shared" si="1"/>
        <v>جيد</v>
      </c>
      <c r="I34" s="56"/>
      <c r="J34" s="57"/>
    </row>
    <row r="35" spans="1:10" ht="39.9" customHeight="1" x14ac:dyDescent="0.3">
      <c r="A35" s="8"/>
      <c r="B35" s="41" t="s">
        <v>207</v>
      </c>
      <c r="C35" s="38"/>
      <c r="D35" s="38"/>
      <c r="E35" s="7"/>
      <c r="F35" s="24"/>
      <c r="G35" s="28"/>
      <c r="H35" s="29"/>
      <c r="I35" s="56"/>
      <c r="J35" s="57"/>
    </row>
    <row r="36" spans="1:10" ht="39.9" customHeight="1" x14ac:dyDescent="0.3">
      <c r="A36" s="8"/>
      <c r="B36" s="39" t="s">
        <v>208</v>
      </c>
      <c r="C36" s="40"/>
      <c r="D36" s="40"/>
      <c r="E36" s="7"/>
      <c r="F36" s="24"/>
      <c r="G36" s="28"/>
      <c r="H36" s="29"/>
      <c r="I36" s="56"/>
      <c r="J36" s="57"/>
    </row>
    <row r="37" spans="1:10" ht="39.9" customHeight="1" x14ac:dyDescent="0.3">
      <c r="A37" s="8"/>
      <c r="B37" s="54" t="s">
        <v>209</v>
      </c>
      <c r="C37" s="55"/>
      <c r="D37" s="55"/>
      <c r="E37" s="7">
        <v>5</v>
      </c>
      <c r="F37" s="24">
        <v>3.5</v>
      </c>
      <c r="G37" s="28">
        <f t="shared" si="0"/>
        <v>0.7</v>
      </c>
      <c r="H37" s="29" t="str">
        <f t="shared" si="1"/>
        <v>جيد</v>
      </c>
      <c r="I37" s="56"/>
      <c r="J37" s="57"/>
    </row>
    <row r="38" spans="1:10" ht="39.9" customHeight="1" x14ac:dyDescent="0.3">
      <c r="A38" s="8"/>
      <c r="B38" s="54" t="s">
        <v>210</v>
      </c>
      <c r="C38" s="55"/>
      <c r="D38" s="55"/>
      <c r="E38" s="7">
        <v>5</v>
      </c>
      <c r="F38" s="24">
        <v>3.75</v>
      </c>
      <c r="G38" s="28">
        <f t="shared" si="0"/>
        <v>0.75</v>
      </c>
      <c r="H38" s="29" t="str">
        <f t="shared" si="1"/>
        <v>جيد</v>
      </c>
      <c r="I38" s="56"/>
      <c r="J38" s="57"/>
    </row>
    <row r="39" spans="1:10" ht="39.9" customHeight="1" x14ac:dyDescent="0.3">
      <c r="A39" s="8"/>
      <c r="B39" s="54" t="s">
        <v>211</v>
      </c>
      <c r="C39" s="55"/>
      <c r="D39" s="55"/>
      <c r="E39" s="7">
        <v>5</v>
      </c>
      <c r="F39" s="24">
        <v>3.5</v>
      </c>
      <c r="G39" s="28">
        <f t="shared" si="0"/>
        <v>0.7</v>
      </c>
      <c r="H39" s="29" t="str">
        <f t="shared" si="1"/>
        <v>جيد</v>
      </c>
      <c r="I39" s="56"/>
      <c r="J39" s="57"/>
    </row>
    <row r="40" spans="1:10" ht="39.9" customHeight="1" x14ac:dyDescent="0.3">
      <c r="A40" s="8"/>
      <c r="B40" s="54" t="s">
        <v>212</v>
      </c>
      <c r="C40" s="55"/>
      <c r="D40" s="55"/>
      <c r="E40" s="7">
        <v>5</v>
      </c>
      <c r="F40" s="24">
        <v>3.75</v>
      </c>
      <c r="G40" s="28">
        <f t="shared" si="0"/>
        <v>0.75</v>
      </c>
      <c r="H40" s="29" t="str">
        <f t="shared" si="1"/>
        <v>جيد</v>
      </c>
      <c r="I40" s="56"/>
      <c r="J40" s="57"/>
    </row>
    <row r="41" spans="1:10" ht="39.9" customHeight="1" x14ac:dyDescent="0.3">
      <c r="A41" s="8"/>
      <c r="B41" s="54" t="s">
        <v>213</v>
      </c>
      <c r="C41" s="55"/>
      <c r="D41" s="55"/>
      <c r="E41" s="7">
        <v>5</v>
      </c>
      <c r="F41" s="24">
        <v>3.75</v>
      </c>
      <c r="G41" s="28">
        <f t="shared" si="0"/>
        <v>0.75</v>
      </c>
      <c r="H41" s="29" t="str">
        <f t="shared" si="1"/>
        <v>جيد</v>
      </c>
      <c r="I41" s="56"/>
      <c r="J41" s="57"/>
    </row>
    <row r="42" spans="1:10" ht="39.9" customHeight="1" x14ac:dyDescent="0.3">
      <c r="A42" s="8"/>
      <c r="B42" s="39" t="s">
        <v>214</v>
      </c>
      <c r="C42" s="40"/>
      <c r="D42" s="40"/>
      <c r="E42" s="7"/>
      <c r="F42" s="24"/>
      <c r="G42" s="28"/>
      <c r="H42" s="29"/>
      <c r="I42" s="56"/>
      <c r="J42" s="57"/>
    </row>
    <row r="43" spans="1:10" ht="39.9" customHeight="1" x14ac:dyDescent="0.3">
      <c r="A43" s="8"/>
      <c r="B43" s="50" t="s">
        <v>215</v>
      </c>
      <c r="C43" s="51"/>
      <c r="D43" s="51"/>
      <c r="E43" s="7">
        <v>5</v>
      </c>
      <c r="F43" s="24">
        <v>3.5</v>
      </c>
      <c r="G43" s="28">
        <f t="shared" si="0"/>
        <v>0.7</v>
      </c>
      <c r="H43" s="29" t="str">
        <f t="shared" si="1"/>
        <v>جيد</v>
      </c>
      <c r="I43" s="56"/>
      <c r="J43" s="57"/>
    </row>
    <row r="44" spans="1:10" ht="39.9" customHeight="1" x14ac:dyDescent="0.3">
      <c r="A44" s="8"/>
      <c r="B44" s="50" t="s">
        <v>216</v>
      </c>
      <c r="C44" s="51"/>
      <c r="D44" s="51"/>
      <c r="E44" s="7">
        <v>5</v>
      </c>
      <c r="F44" s="24">
        <v>3.5</v>
      </c>
      <c r="G44" s="28">
        <f t="shared" si="0"/>
        <v>0.7</v>
      </c>
      <c r="H44" s="29" t="str">
        <f t="shared" si="1"/>
        <v>جيد</v>
      </c>
      <c r="I44" s="56"/>
      <c r="J44" s="57"/>
    </row>
    <row r="45" spans="1:10" ht="39.9" customHeight="1" x14ac:dyDescent="0.3">
      <c r="A45" s="8"/>
      <c r="B45" s="39" t="s">
        <v>217</v>
      </c>
      <c r="C45" s="40"/>
      <c r="D45" s="40"/>
      <c r="E45" s="7"/>
      <c r="F45" s="24"/>
      <c r="G45" s="28"/>
      <c r="H45" s="29"/>
      <c r="I45" s="56"/>
      <c r="J45" s="57"/>
    </row>
    <row r="46" spans="1:10" ht="39.9" customHeight="1" x14ac:dyDescent="0.3">
      <c r="A46" s="8"/>
      <c r="B46" s="50" t="s">
        <v>218</v>
      </c>
      <c r="C46" s="51"/>
      <c r="D46" s="51"/>
      <c r="E46" s="7">
        <v>5</v>
      </c>
      <c r="F46" s="24">
        <v>3.75</v>
      </c>
      <c r="G46" s="28">
        <f t="shared" si="0"/>
        <v>0.75</v>
      </c>
      <c r="H46" s="29" t="str">
        <f t="shared" si="1"/>
        <v>جيد</v>
      </c>
      <c r="I46" s="56"/>
      <c r="J46" s="57"/>
    </row>
    <row r="47" spans="1:10" ht="39.9" customHeight="1" x14ac:dyDescent="0.3">
      <c r="A47" s="8"/>
      <c r="B47" s="50" t="s">
        <v>219</v>
      </c>
      <c r="C47" s="51"/>
      <c r="D47" s="51"/>
      <c r="E47" s="7">
        <v>5</v>
      </c>
      <c r="F47" s="24">
        <v>3.5</v>
      </c>
      <c r="G47" s="28">
        <f t="shared" si="0"/>
        <v>0.7</v>
      </c>
      <c r="H47" s="29" t="str">
        <f t="shared" si="1"/>
        <v>جيد</v>
      </c>
      <c r="I47" s="56"/>
      <c r="J47" s="57"/>
    </row>
    <row r="48" spans="1:10" ht="39.9" customHeight="1" x14ac:dyDescent="0.3">
      <c r="A48" s="8"/>
      <c r="B48" s="50" t="s">
        <v>220</v>
      </c>
      <c r="C48" s="51"/>
      <c r="D48" s="51"/>
      <c r="E48" s="7">
        <v>5</v>
      </c>
      <c r="F48" s="24">
        <v>3.5</v>
      </c>
      <c r="G48" s="28">
        <f t="shared" si="0"/>
        <v>0.7</v>
      </c>
      <c r="H48" s="29" t="str">
        <f t="shared" si="1"/>
        <v>جيد</v>
      </c>
      <c r="I48" s="56"/>
      <c r="J48" s="57"/>
    </row>
    <row r="49" spans="1:10" ht="39.9" customHeight="1" x14ac:dyDescent="0.3">
      <c r="A49" s="8"/>
      <c r="B49" s="39" t="s">
        <v>221</v>
      </c>
      <c r="C49" s="40"/>
      <c r="D49" s="40"/>
      <c r="E49" s="7"/>
      <c r="F49" s="24"/>
      <c r="G49" s="28"/>
      <c r="H49" s="29"/>
      <c r="I49" s="56"/>
      <c r="J49" s="57"/>
    </row>
    <row r="50" spans="1:10" ht="39.9" customHeight="1" x14ac:dyDescent="0.3">
      <c r="A50" s="8"/>
      <c r="B50" s="50" t="s">
        <v>222</v>
      </c>
      <c r="C50" s="51"/>
      <c r="D50" s="51"/>
      <c r="E50" s="7">
        <v>5</v>
      </c>
      <c r="F50" s="24">
        <v>3.5</v>
      </c>
      <c r="G50" s="28">
        <f t="shared" si="0"/>
        <v>0.7</v>
      </c>
      <c r="H50" s="29" t="str">
        <f t="shared" si="1"/>
        <v>جيد</v>
      </c>
      <c r="I50" s="56"/>
      <c r="J50" s="57"/>
    </row>
    <row r="51" spans="1:10" ht="39.9" customHeight="1" x14ac:dyDescent="0.3">
      <c r="A51" s="8"/>
      <c r="B51" s="50" t="s">
        <v>223</v>
      </c>
      <c r="C51" s="51"/>
      <c r="D51" s="51"/>
      <c r="E51" s="7">
        <v>5</v>
      </c>
      <c r="F51" s="24">
        <v>3.5</v>
      </c>
      <c r="G51" s="28">
        <f t="shared" si="0"/>
        <v>0.7</v>
      </c>
      <c r="H51" s="29" t="str">
        <f t="shared" si="1"/>
        <v>جيد</v>
      </c>
      <c r="I51" s="56"/>
      <c r="J51" s="57"/>
    </row>
    <row r="52" spans="1:10" ht="39.9" customHeight="1" x14ac:dyDescent="0.3">
      <c r="A52" s="8"/>
      <c r="B52" s="50" t="s">
        <v>224</v>
      </c>
      <c r="C52" s="51"/>
      <c r="D52" s="51"/>
      <c r="E52" s="7">
        <v>5</v>
      </c>
      <c r="F52" s="24">
        <v>3.5</v>
      </c>
      <c r="G52" s="28">
        <f t="shared" si="0"/>
        <v>0.7</v>
      </c>
      <c r="H52" s="29" t="str">
        <f t="shared" si="1"/>
        <v>جيد</v>
      </c>
      <c r="I52" s="56"/>
      <c r="J52" s="57"/>
    </row>
    <row r="53" spans="1:10" ht="39.9" customHeight="1" x14ac:dyDescent="0.3">
      <c r="A53" s="8"/>
      <c r="B53" s="50" t="s">
        <v>225</v>
      </c>
      <c r="C53" s="51"/>
      <c r="D53" s="51"/>
      <c r="E53" s="7">
        <v>5</v>
      </c>
      <c r="F53" s="24">
        <v>3.5</v>
      </c>
      <c r="G53" s="28">
        <f t="shared" si="0"/>
        <v>0.7</v>
      </c>
      <c r="H53" s="29" t="str">
        <f t="shared" si="1"/>
        <v>جيد</v>
      </c>
      <c r="I53" s="56"/>
      <c r="J53" s="57"/>
    </row>
    <row r="54" spans="1:10" ht="39.9" customHeight="1" x14ac:dyDescent="0.3">
      <c r="A54" s="8"/>
      <c r="B54" s="41" t="s">
        <v>226</v>
      </c>
      <c r="C54" s="38"/>
      <c r="D54" s="38"/>
      <c r="E54" s="7"/>
      <c r="F54" s="24"/>
      <c r="G54" s="28"/>
      <c r="H54" s="29"/>
      <c r="I54" s="56"/>
      <c r="J54" s="57"/>
    </row>
    <row r="55" spans="1:10" ht="39.9" customHeight="1" x14ac:dyDescent="0.3">
      <c r="A55" s="8"/>
      <c r="B55" s="39" t="s">
        <v>227</v>
      </c>
      <c r="C55" s="40"/>
      <c r="D55" s="40"/>
      <c r="E55" s="7">
        <v>5</v>
      </c>
      <c r="F55" s="24">
        <v>3.75</v>
      </c>
      <c r="G55" s="28">
        <f t="shared" si="0"/>
        <v>0.75</v>
      </c>
      <c r="H55" s="29" t="str">
        <f t="shared" si="1"/>
        <v>جيد</v>
      </c>
      <c r="I55" s="56"/>
      <c r="J55" s="57"/>
    </row>
    <row r="56" spans="1:10" ht="39.9" customHeight="1" x14ac:dyDescent="0.3">
      <c r="A56" s="8"/>
      <c r="B56" s="39" t="s">
        <v>228</v>
      </c>
      <c r="C56" s="40"/>
      <c r="D56" s="40"/>
      <c r="E56" s="7">
        <v>5</v>
      </c>
      <c r="F56" s="24">
        <v>3.75</v>
      </c>
      <c r="G56" s="28">
        <f t="shared" si="0"/>
        <v>0.75</v>
      </c>
      <c r="H56" s="29" t="str">
        <f t="shared" si="1"/>
        <v>جيد</v>
      </c>
      <c r="I56" s="56"/>
      <c r="J56" s="57"/>
    </row>
    <row r="57" spans="1:10" ht="39.9" customHeight="1" x14ac:dyDescent="0.3">
      <c r="A57" s="8"/>
      <c r="B57" s="39" t="s">
        <v>229</v>
      </c>
      <c r="C57" s="40"/>
      <c r="D57" s="40"/>
      <c r="E57" s="7">
        <v>5</v>
      </c>
      <c r="F57" s="24">
        <v>3.75</v>
      </c>
      <c r="G57" s="28">
        <f t="shared" si="0"/>
        <v>0.75</v>
      </c>
      <c r="H57" s="29" t="str">
        <f t="shared" si="1"/>
        <v>جيد</v>
      </c>
      <c r="I57" s="56"/>
      <c r="J57" s="57"/>
    </row>
    <row r="58" spans="1:10" ht="39.9" customHeight="1" x14ac:dyDescent="0.3">
      <c r="A58" s="8"/>
      <c r="B58" s="39" t="s">
        <v>230</v>
      </c>
      <c r="C58" s="40"/>
      <c r="D58" s="40"/>
      <c r="E58" s="7">
        <v>5</v>
      </c>
      <c r="F58" s="24">
        <v>3.5</v>
      </c>
      <c r="G58" s="28">
        <f t="shared" si="0"/>
        <v>0.7</v>
      </c>
      <c r="H58" s="29" t="str">
        <f t="shared" si="1"/>
        <v>جيد</v>
      </c>
      <c r="I58" s="56"/>
      <c r="J58" s="57"/>
    </row>
    <row r="59" spans="1:10" ht="39.9" customHeight="1" x14ac:dyDescent="0.3">
      <c r="A59" s="8"/>
      <c r="B59" s="41" t="s">
        <v>231</v>
      </c>
      <c r="C59" s="38"/>
      <c r="D59" s="38"/>
      <c r="E59" s="7">
        <v>5</v>
      </c>
      <c r="F59" s="24">
        <v>3.5</v>
      </c>
      <c r="G59" s="28">
        <f t="shared" si="0"/>
        <v>0.7</v>
      </c>
      <c r="H59" s="29" t="str">
        <f t="shared" si="1"/>
        <v>جيد</v>
      </c>
      <c r="I59" s="56"/>
      <c r="J59" s="57"/>
    </row>
    <row r="60" spans="1:10" ht="50.25" customHeight="1" x14ac:dyDescent="0.3">
      <c r="A60" s="8"/>
      <c r="B60" s="41" t="s">
        <v>266</v>
      </c>
      <c r="C60" s="38"/>
      <c r="D60" s="38"/>
      <c r="E60" s="7">
        <v>5</v>
      </c>
      <c r="F60" s="24">
        <v>3.5</v>
      </c>
      <c r="G60" s="28">
        <f t="shared" si="0"/>
        <v>0.7</v>
      </c>
      <c r="H60" s="29" t="str">
        <f t="shared" si="1"/>
        <v>جيد</v>
      </c>
      <c r="I60" s="56"/>
      <c r="J60" s="57"/>
    </row>
    <row r="61" spans="1:10" ht="39.9" customHeight="1" x14ac:dyDescent="0.3">
      <c r="A61" s="8"/>
      <c r="B61" s="41" t="s">
        <v>267</v>
      </c>
      <c r="C61" s="38"/>
      <c r="D61" s="38"/>
      <c r="E61" s="7"/>
      <c r="F61" s="24"/>
      <c r="G61" s="28"/>
      <c r="H61" s="29"/>
      <c r="I61" s="56"/>
      <c r="J61" s="57"/>
    </row>
    <row r="62" spans="1:10" ht="39.9" customHeight="1" x14ac:dyDescent="0.3">
      <c r="A62" s="8"/>
      <c r="B62" s="39" t="s">
        <v>232</v>
      </c>
      <c r="C62" s="40"/>
      <c r="D62" s="40"/>
      <c r="E62" s="7">
        <v>5</v>
      </c>
      <c r="F62" s="24">
        <v>3.5</v>
      </c>
      <c r="G62" s="28">
        <f t="shared" si="0"/>
        <v>0.7</v>
      </c>
      <c r="H62" s="29" t="str">
        <f t="shared" si="1"/>
        <v>جيد</v>
      </c>
      <c r="I62" s="56"/>
      <c r="J62" s="57"/>
    </row>
    <row r="63" spans="1:10" ht="39.9" customHeight="1" x14ac:dyDescent="0.3">
      <c r="A63" s="8"/>
      <c r="B63" s="39" t="s">
        <v>233</v>
      </c>
      <c r="C63" s="40"/>
      <c r="D63" s="40"/>
      <c r="E63" s="7">
        <v>5</v>
      </c>
      <c r="F63" s="24">
        <v>3.5</v>
      </c>
      <c r="G63" s="28">
        <f t="shared" si="0"/>
        <v>0.7</v>
      </c>
      <c r="H63" s="29" t="str">
        <f t="shared" si="1"/>
        <v>جيد</v>
      </c>
      <c r="I63" s="56"/>
      <c r="J63" s="57"/>
    </row>
    <row r="64" spans="1:10" ht="39.9" customHeight="1" x14ac:dyDescent="0.3">
      <c r="A64" s="8"/>
      <c r="B64" s="39" t="s">
        <v>234</v>
      </c>
      <c r="C64" s="40"/>
      <c r="D64" s="40"/>
      <c r="E64" s="7">
        <v>5</v>
      </c>
      <c r="F64" s="24">
        <v>3.75</v>
      </c>
      <c r="G64" s="28">
        <f t="shared" si="0"/>
        <v>0.75</v>
      </c>
      <c r="H64" s="29" t="str">
        <f t="shared" si="1"/>
        <v>جيد</v>
      </c>
      <c r="I64" s="56"/>
      <c r="J64" s="57"/>
    </row>
    <row r="65" spans="1:10" ht="39.9" customHeight="1" x14ac:dyDescent="0.3">
      <c r="A65" s="8"/>
      <c r="B65" s="39" t="s">
        <v>235</v>
      </c>
      <c r="C65" s="40"/>
      <c r="D65" s="40"/>
      <c r="E65" s="7">
        <v>5</v>
      </c>
      <c r="F65" s="24">
        <v>3.75</v>
      </c>
      <c r="G65" s="28">
        <f t="shared" si="0"/>
        <v>0.75</v>
      </c>
      <c r="H65" s="29" t="str">
        <f t="shared" si="1"/>
        <v>جيد</v>
      </c>
      <c r="I65" s="56"/>
      <c r="J65" s="57"/>
    </row>
    <row r="66" spans="1:10" ht="39.9" customHeight="1" x14ac:dyDescent="0.3">
      <c r="A66" s="8"/>
      <c r="B66" s="39" t="s">
        <v>236</v>
      </c>
      <c r="C66" s="40"/>
      <c r="D66" s="40"/>
      <c r="E66" s="7">
        <v>5</v>
      </c>
      <c r="F66" s="24">
        <v>3.75</v>
      </c>
      <c r="G66" s="28">
        <f t="shared" si="0"/>
        <v>0.75</v>
      </c>
      <c r="H66" s="29" t="str">
        <f t="shared" si="1"/>
        <v>جيد</v>
      </c>
      <c r="I66" s="56"/>
      <c r="J66" s="57"/>
    </row>
    <row r="67" spans="1:10" ht="39.9" customHeight="1" thickBot="1" x14ac:dyDescent="0.35">
      <c r="A67" s="8"/>
      <c r="B67" s="52" t="s">
        <v>237</v>
      </c>
      <c r="C67" s="53"/>
      <c r="D67" s="53"/>
      <c r="E67" s="33">
        <v>5</v>
      </c>
      <c r="F67" s="34">
        <v>3.75</v>
      </c>
      <c r="G67" s="35">
        <f t="shared" si="0"/>
        <v>0.75</v>
      </c>
      <c r="H67" s="36" t="str">
        <f t="shared" si="1"/>
        <v>جيد</v>
      </c>
      <c r="I67" s="62"/>
      <c r="J67" s="63"/>
    </row>
    <row r="68" spans="1:10" ht="39.9" customHeight="1" x14ac:dyDescent="0.3">
      <c r="A68" s="8"/>
      <c r="B68" s="44" t="s">
        <v>238</v>
      </c>
      <c r="C68" s="45"/>
      <c r="D68" s="45"/>
      <c r="E68" s="45"/>
      <c r="F68" s="45"/>
      <c r="G68" s="45"/>
      <c r="H68" s="45"/>
      <c r="I68" s="45"/>
      <c r="J68" s="46"/>
    </row>
    <row r="69" spans="1:10" ht="39.9" customHeight="1" x14ac:dyDescent="0.3">
      <c r="A69" s="8"/>
      <c r="B69" s="41" t="s">
        <v>239</v>
      </c>
      <c r="C69" s="38"/>
      <c r="D69" s="38"/>
      <c r="E69" s="7"/>
      <c r="F69" s="24"/>
      <c r="G69" s="28"/>
      <c r="H69" s="29"/>
      <c r="I69" s="56"/>
      <c r="J69" s="57"/>
    </row>
    <row r="70" spans="1:10" ht="39.9" customHeight="1" x14ac:dyDescent="0.3">
      <c r="A70" s="8"/>
      <c r="B70" s="39" t="s">
        <v>240</v>
      </c>
      <c r="C70" s="40"/>
      <c r="D70" s="40"/>
      <c r="E70" s="7">
        <v>5</v>
      </c>
      <c r="F70" s="24">
        <v>3.5</v>
      </c>
      <c r="G70" s="28">
        <f t="shared" si="0"/>
        <v>0.7</v>
      </c>
      <c r="H70" s="29" t="str">
        <f t="shared" si="1"/>
        <v>جيد</v>
      </c>
      <c r="I70" s="56"/>
      <c r="J70" s="57"/>
    </row>
    <row r="71" spans="1:10" ht="39.9" customHeight="1" x14ac:dyDescent="0.3">
      <c r="A71" s="8"/>
      <c r="B71" s="39" t="s">
        <v>241</v>
      </c>
      <c r="C71" s="40"/>
      <c r="D71" s="40"/>
      <c r="E71" s="7">
        <v>5</v>
      </c>
      <c r="F71" s="24">
        <v>3.75</v>
      </c>
      <c r="G71" s="28">
        <f t="shared" si="0"/>
        <v>0.75</v>
      </c>
      <c r="H71" s="29" t="str">
        <f t="shared" si="1"/>
        <v>جيد</v>
      </c>
      <c r="I71" s="56"/>
      <c r="J71" s="57"/>
    </row>
    <row r="72" spans="1:10" ht="48.75" customHeight="1" x14ac:dyDescent="0.3">
      <c r="A72" s="8"/>
      <c r="B72" s="39" t="s">
        <v>242</v>
      </c>
      <c r="C72" s="40"/>
      <c r="D72" s="40"/>
      <c r="E72" s="7">
        <v>5</v>
      </c>
      <c r="F72" s="24">
        <v>3.5</v>
      </c>
      <c r="G72" s="28">
        <f t="shared" si="0"/>
        <v>0.7</v>
      </c>
      <c r="H72" s="29" t="str">
        <f t="shared" si="1"/>
        <v>جيد</v>
      </c>
      <c r="I72" s="56"/>
      <c r="J72" s="57"/>
    </row>
    <row r="73" spans="1:10" ht="39.9" customHeight="1" x14ac:dyDescent="0.3">
      <c r="A73" s="8"/>
      <c r="B73" s="39" t="s">
        <v>243</v>
      </c>
      <c r="C73" s="40"/>
      <c r="D73" s="40"/>
      <c r="E73" s="7">
        <v>5</v>
      </c>
      <c r="F73" s="24">
        <v>3.75</v>
      </c>
      <c r="G73" s="28">
        <f t="shared" ref="G73:G95" si="2">IFERROR(F73/E73,"")</f>
        <v>0.75</v>
      </c>
      <c r="H73" s="29" t="str">
        <f t="shared" ref="H73:H95" si="3">_xlfn.IFS(F73="أدخل العلامة","",F73="لا ينطبق","تم الإلغاء",G73&gt;=90%,"ممتاز",G73&gt;=80%,"جيد جداً",G73&gt;=70%,"جيد",G73&gt;=60%,"مقبول",G73&lt;60%,"راسب")</f>
        <v>جيد</v>
      </c>
      <c r="I73" s="56"/>
      <c r="J73" s="57"/>
    </row>
    <row r="74" spans="1:10" ht="39.9" customHeight="1" x14ac:dyDescent="0.3">
      <c r="A74" s="8"/>
      <c r="B74" s="39" t="s">
        <v>244</v>
      </c>
      <c r="C74" s="40"/>
      <c r="D74" s="40"/>
      <c r="E74" s="7">
        <v>5</v>
      </c>
      <c r="F74" s="24">
        <v>3.75</v>
      </c>
      <c r="G74" s="28">
        <f t="shared" si="2"/>
        <v>0.75</v>
      </c>
      <c r="H74" s="29" t="str">
        <f t="shared" si="3"/>
        <v>جيد</v>
      </c>
      <c r="I74" s="56"/>
      <c r="J74" s="57"/>
    </row>
    <row r="75" spans="1:10" ht="39.9" customHeight="1" x14ac:dyDescent="0.3">
      <c r="A75" s="8"/>
      <c r="B75" s="39" t="s">
        <v>245</v>
      </c>
      <c r="C75" s="40"/>
      <c r="D75" s="40"/>
      <c r="E75" s="7">
        <v>5</v>
      </c>
      <c r="F75" s="24">
        <v>3.75</v>
      </c>
      <c r="G75" s="28">
        <f t="shared" si="2"/>
        <v>0.75</v>
      </c>
      <c r="H75" s="29" t="str">
        <f t="shared" si="3"/>
        <v>جيد</v>
      </c>
      <c r="I75" s="56"/>
      <c r="J75" s="57"/>
    </row>
    <row r="76" spans="1:10" ht="39.9" customHeight="1" x14ac:dyDescent="0.3">
      <c r="A76" s="8"/>
      <c r="B76" s="39" t="s">
        <v>246</v>
      </c>
      <c r="C76" s="40"/>
      <c r="D76" s="40"/>
      <c r="E76" s="7">
        <v>5</v>
      </c>
      <c r="F76" s="24">
        <v>3.5</v>
      </c>
      <c r="G76" s="28">
        <f t="shared" si="2"/>
        <v>0.7</v>
      </c>
      <c r="H76" s="29" t="str">
        <f t="shared" si="3"/>
        <v>جيد</v>
      </c>
      <c r="I76" s="56"/>
      <c r="J76" s="57"/>
    </row>
    <row r="77" spans="1:10" ht="39.9" customHeight="1" x14ac:dyDescent="0.3">
      <c r="A77" s="8"/>
      <c r="B77" s="41" t="s">
        <v>247</v>
      </c>
      <c r="C77" s="38"/>
      <c r="D77" s="38"/>
      <c r="E77" s="7">
        <v>5</v>
      </c>
      <c r="F77" s="24">
        <v>3.5</v>
      </c>
      <c r="G77" s="28">
        <f t="shared" si="2"/>
        <v>0.7</v>
      </c>
      <c r="H77" s="29" t="str">
        <f t="shared" si="3"/>
        <v>جيد</v>
      </c>
      <c r="I77" s="56"/>
      <c r="J77" s="57"/>
    </row>
    <row r="78" spans="1:10" ht="39.9" customHeight="1" thickBot="1" x14ac:dyDescent="0.35">
      <c r="A78" s="8"/>
      <c r="B78" s="42" t="s">
        <v>248</v>
      </c>
      <c r="C78" s="43"/>
      <c r="D78" s="43"/>
      <c r="E78" s="30">
        <v>5</v>
      </c>
      <c r="F78" s="25">
        <v>3.5</v>
      </c>
      <c r="G78" s="31">
        <f t="shared" si="2"/>
        <v>0.7</v>
      </c>
      <c r="H78" s="32" t="str">
        <f t="shared" si="3"/>
        <v>جيد</v>
      </c>
      <c r="I78" s="92"/>
      <c r="J78" s="93"/>
    </row>
    <row r="79" spans="1:10" ht="39.9" customHeight="1" x14ac:dyDescent="0.3">
      <c r="A79" s="8"/>
      <c r="B79" s="47" t="s">
        <v>249</v>
      </c>
      <c r="C79" s="45"/>
      <c r="D79" s="45"/>
      <c r="E79" s="45"/>
      <c r="F79" s="45"/>
      <c r="G79" s="45"/>
      <c r="H79" s="45"/>
      <c r="I79" s="45"/>
      <c r="J79" s="48"/>
    </row>
    <row r="80" spans="1:10" ht="39.9" customHeight="1" x14ac:dyDescent="0.3">
      <c r="A80" s="8"/>
      <c r="B80" s="38" t="s">
        <v>250</v>
      </c>
      <c r="C80" s="38"/>
      <c r="D80" s="38"/>
      <c r="E80" s="7">
        <v>5</v>
      </c>
      <c r="F80" s="24">
        <v>3.5</v>
      </c>
      <c r="G80" s="28">
        <f t="shared" si="2"/>
        <v>0.7</v>
      </c>
      <c r="H80" s="29" t="str">
        <f t="shared" si="3"/>
        <v>جيد</v>
      </c>
      <c r="I80" s="56"/>
      <c r="J80" s="56"/>
    </row>
    <row r="81" spans="1:10" ht="54.75" customHeight="1" x14ac:dyDescent="0.3">
      <c r="A81" s="8"/>
      <c r="B81" s="38" t="s">
        <v>251</v>
      </c>
      <c r="C81" s="38"/>
      <c r="D81" s="38"/>
      <c r="E81" s="7">
        <v>5</v>
      </c>
      <c r="F81" s="24">
        <v>3.75</v>
      </c>
      <c r="G81" s="28">
        <f t="shared" si="2"/>
        <v>0.75</v>
      </c>
      <c r="H81" s="29" t="str">
        <f t="shared" si="3"/>
        <v>جيد</v>
      </c>
      <c r="I81" s="56"/>
      <c r="J81" s="56"/>
    </row>
    <row r="82" spans="1:10" ht="39.9" customHeight="1" x14ac:dyDescent="0.3">
      <c r="A82" s="8"/>
      <c r="B82" s="49" t="s">
        <v>252</v>
      </c>
      <c r="C82" s="49"/>
      <c r="D82" s="49"/>
      <c r="E82" s="7">
        <v>5</v>
      </c>
      <c r="F82" s="24">
        <v>3.75</v>
      </c>
      <c r="G82" s="28">
        <f t="shared" si="2"/>
        <v>0.75</v>
      </c>
      <c r="H82" s="29" t="str">
        <f t="shared" si="3"/>
        <v>جيد</v>
      </c>
      <c r="I82" s="56"/>
      <c r="J82" s="56"/>
    </row>
    <row r="83" spans="1:10" ht="39.9" customHeight="1" x14ac:dyDescent="0.3">
      <c r="A83" s="8"/>
      <c r="B83" s="49" t="s">
        <v>253</v>
      </c>
      <c r="C83" s="49"/>
      <c r="D83" s="49"/>
      <c r="E83" s="7">
        <v>5</v>
      </c>
      <c r="F83" s="24">
        <v>3.5</v>
      </c>
      <c r="G83" s="28">
        <f t="shared" si="2"/>
        <v>0.7</v>
      </c>
      <c r="H83" s="29" t="str">
        <f t="shared" si="3"/>
        <v>جيد</v>
      </c>
      <c r="I83" s="56"/>
      <c r="J83" s="56"/>
    </row>
    <row r="84" spans="1:10" ht="39.9" customHeight="1" x14ac:dyDescent="0.3">
      <c r="A84" s="8"/>
      <c r="B84" s="38" t="s">
        <v>254</v>
      </c>
      <c r="C84" s="38"/>
      <c r="D84" s="38"/>
      <c r="E84" s="7">
        <v>5</v>
      </c>
      <c r="F84" s="24">
        <v>3.5</v>
      </c>
      <c r="G84" s="28">
        <f t="shared" si="2"/>
        <v>0.7</v>
      </c>
      <c r="H84" s="29" t="str">
        <f t="shared" si="3"/>
        <v>جيد</v>
      </c>
      <c r="I84" s="56"/>
      <c r="J84" s="56"/>
    </row>
    <row r="85" spans="1:10" ht="54" customHeight="1" x14ac:dyDescent="0.3">
      <c r="A85" s="8"/>
      <c r="B85" s="38" t="s">
        <v>255</v>
      </c>
      <c r="C85" s="38"/>
      <c r="D85" s="38"/>
      <c r="E85" s="7">
        <v>5</v>
      </c>
      <c r="F85" s="24">
        <v>3.5</v>
      </c>
      <c r="G85" s="28">
        <f t="shared" si="2"/>
        <v>0.7</v>
      </c>
      <c r="H85" s="29" t="str">
        <f t="shared" si="3"/>
        <v>جيد</v>
      </c>
      <c r="I85" s="56"/>
      <c r="J85" s="56"/>
    </row>
    <row r="86" spans="1:10" ht="39.9" customHeight="1" x14ac:dyDescent="0.3">
      <c r="A86" s="8"/>
      <c r="B86" s="38" t="s">
        <v>256</v>
      </c>
      <c r="C86" s="38"/>
      <c r="D86" s="38"/>
      <c r="E86" s="7">
        <v>5</v>
      </c>
      <c r="F86" s="24">
        <v>3.5</v>
      </c>
      <c r="G86" s="28">
        <f t="shared" si="2"/>
        <v>0.7</v>
      </c>
      <c r="H86" s="29" t="str">
        <f t="shared" si="3"/>
        <v>جيد</v>
      </c>
      <c r="I86" s="56"/>
      <c r="J86" s="56"/>
    </row>
    <row r="87" spans="1:10" ht="39.9" customHeight="1" x14ac:dyDescent="0.3">
      <c r="A87" s="8"/>
      <c r="B87" s="38" t="s">
        <v>257</v>
      </c>
      <c r="C87" s="38"/>
      <c r="D87" s="38"/>
      <c r="E87" s="7">
        <v>5</v>
      </c>
      <c r="F87" s="24">
        <v>3.75</v>
      </c>
      <c r="G87" s="28">
        <f t="shared" si="2"/>
        <v>0.75</v>
      </c>
      <c r="H87" s="29" t="str">
        <f t="shared" si="3"/>
        <v>جيد</v>
      </c>
      <c r="I87" s="56"/>
      <c r="J87" s="56"/>
    </row>
    <row r="88" spans="1:10" ht="39.9" customHeight="1" x14ac:dyDescent="0.3">
      <c r="A88" s="8"/>
      <c r="B88" s="38" t="s">
        <v>258</v>
      </c>
      <c r="C88" s="38"/>
      <c r="D88" s="38"/>
      <c r="E88" s="7">
        <v>5</v>
      </c>
      <c r="F88" s="24">
        <v>3.75</v>
      </c>
      <c r="G88" s="28">
        <f t="shared" si="2"/>
        <v>0.75</v>
      </c>
      <c r="H88" s="29" t="str">
        <f t="shared" si="3"/>
        <v>جيد</v>
      </c>
      <c r="I88" s="56"/>
      <c r="J88" s="56"/>
    </row>
    <row r="89" spans="1:10" ht="39.9" customHeight="1" x14ac:dyDescent="0.3">
      <c r="A89" s="8"/>
      <c r="B89" s="38" t="s">
        <v>259</v>
      </c>
      <c r="C89" s="38"/>
      <c r="D89" s="38"/>
      <c r="E89" s="7">
        <v>5</v>
      </c>
      <c r="F89" s="24">
        <v>3.75</v>
      </c>
      <c r="G89" s="28">
        <f t="shared" si="2"/>
        <v>0.75</v>
      </c>
      <c r="H89" s="29" t="str">
        <f t="shared" si="3"/>
        <v>جيد</v>
      </c>
      <c r="I89" s="56"/>
      <c r="J89" s="56"/>
    </row>
    <row r="90" spans="1:10" ht="39.9" customHeight="1" x14ac:dyDescent="0.3">
      <c r="A90" s="8"/>
      <c r="B90" s="38" t="s">
        <v>260</v>
      </c>
      <c r="C90" s="38"/>
      <c r="D90" s="38"/>
      <c r="E90" s="7">
        <v>5</v>
      </c>
      <c r="F90" s="24">
        <v>3.75</v>
      </c>
      <c r="G90" s="28">
        <f t="shared" si="2"/>
        <v>0.75</v>
      </c>
      <c r="H90" s="29" t="str">
        <f t="shared" si="3"/>
        <v>جيد</v>
      </c>
      <c r="I90" s="56"/>
      <c r="J90" s="56"/>
    </row>
    <row r="91" spans="1:10" ht="39.9" customHeight="1" x14ac:dyDescent="0.3">
      <c r="A91" s="8"/>
      <c r="B91" s="38" t="s">
        <v>261</v>
      </c>
      <c r="C91" s="38"/>
      <c r="D91" s="38"/>
      <c r="E91" s="7">
        <v>5</v>
      </c>
      <c r="F91" s="24">
        <v>3.75</v>
      </c>
      <c r="G91" s="28">
        <f t="shared" si="2"/>
        <v>0.75</v>
      </c>
      <c r="H91" s="29" t="str">
        <f t="shared" si="3"/>
        <v>جيد</v>
      </c>
      <c r="I91" s="56"/>
      <c r="J91" s="56"/>
    </row>
    <row r="92" spans="1:10" ht="39.9" customHeight="1" x14ac:dyDescent="0.3">
      <c r="A92" s="8"/>
      <c r="B92" s="38" t="s">
        <v>262</v>
      </c>
      <c r="C92" s="38"/>
      <c r="D92" s="38"/>
      <c r="E92" s="7">
        <v>5</v>
      </c>
      <c r="F92" s="24">
        <v>3.75</v>
      </c>
      <c r="G92" s="28">
        <f t="shared" si="2"/>
        <v>0.75</v>
      </c>
      <c r="H92" s="29" t="str">
        <f t="shared" si="3"/>
        <v>جيد</v>
      </c>
      <c r="I92" s="56"/>
      <c r="J92" s="56"/>
    </row>
    <row r="93" spans="1:10" ht="39.9" customHeight="1" x14ac:dyDescent="0.3">
      <c r="A93" s="8"/>
      <c r="B93" s="38" t="s">
        <v>263</v>
      </c>
      <c r="C93" s="38"/>
      <c r="D93" s="38"/>
      <c r="E93" s="7">
        <v>5</v>
      </c>
      <c r="F93" s="24">
        <v>3.75</v>
      </c>
      <c r="G93" s="28">
        <f t="shared" si="2"/>
        <v>0.75</v>
      </c>
      <c r="H93" s="29" t="str">
        <f t="shared" si="3"/>
        <v>جيد</v>
      </c>
      <c r="I93" s="56"/>
      <c r="J93" s="56"/>
    </row>
    <row r="94" spans="1:10" ht="39.9" customHeight="1" x14ac:dyDescent="0.3">
      <c r="A94" s="8"/>
      <c r="B94" s="38" t="s">
        <v>264</v>
      </c>
      <c r="C94" s="38"/>
      <c r="D94" s="38"/>
      <c r="E94" s="7">
        <v>5</v>
      </c>
      <c r="F94" s="24">
        <v>3.5</v>
      </c>
      <c r="G94" s="28">
        <f t="shared" si="2"/>
        <v>0.7</v>
      </c>
      <c r="H94" s="29" t="str">
        <f t="shared" si="3"/>
        <v>جيد</v>
      </c>
      <c r="I94" s="56"/>
      <c r="J94" s="56"/>
    </row>
    <row r="95" spans="1:10" ht="39.9" customHeight="1" x14ac:dyDescent="0.3">
      <c r="A95" s="8"/>
      <c r="B95" s="38" t="s">
        <v>265</v>
      </c>
      <c r="C95" s="38"/>
      <c r="D95" s="38"/>
      <c r="E95" s="7">
        <v>5</v>
      </c>
      <c r="F95" s="24">
        <v>3.5</v>
      </c>
      <c r="G95" s="28">
        <f t="shared" si="2"/>
        <v>0.7</v>
      </c>
      <c r="H95" s="29" t="str">
        <f t="shared" si="3"/>
        <v>جيد</v>
      </c>
      <c r="I95" s="56"/>
      <c r="J95" s="56"/>
    </row>
    <row r="96" spans="1:10" ht="30" customHeight="1" thickBot="1" x14ac:dyDescent="0.35">
      <c r="A96" s="4"/>
      <c r="B96" s="58" t="s">
        <v>5</v>
      </c>
      <c r="C96" s="59"/>
      <c r="D96" s="59"/>
      <c r="E96" s="27">
        <f>SUM(E8:E95)</f>
        <v>365</v>
      </c>
      <c r="F96" s="27">
        <f>SUM(F8:F95)</f>
        <v>265</v>
      </c>
      <c r="G96" s="89"/>
      <c r="H96" s="90"/>
      <c r="I96" s="90"/>
      <c r="J96" s="91"/>
    </row>
    <row r="97" spans="1:10" ht="30" customHeight="1" thickBot="1" x14ac:dyDescent="0.35">
      <c r="A97" s="4"/>
      <c r="B97" s="60" t="s">
        <v>54</v>
      </c>
      <c r="C97" s="61"/>
      <c r="D97" s="61"/>
      <c r="E97" s="77">
        <f>F96/E96/100*100</f>
        <v>0.72602739726027399</v>
      </c>
      <c r="F97" s="77"/>
      <c r="G97" s="77"/>
      <c r="H97" s="77"/>
      <c r="I97" s="77"/>
      <c r="J97" s="78"/>
    </row>
    <row r="98" spans="1:10" ht="30" customHeight="1" thickBot="1" x14ac:dyDescent="0.35">
      <c r="A98" s="4"/>
      <c r="B98" s="60" t="s">
        <v>55</v>
      </c>
      <c r="C98" s="61"/>
      <c r="D98" s="61"/>
      <c r="E98" s="68" t="str">
        <f>_xlfn.IFS(E97&gt;=90%,"ممتاز",E97&gt;=80%,"جيد جداً",E97&gt;=70%,"جيد",E97&gt;=60%,"مقبول",E97&lt;60%,"راسب")</f>
        <v>جيد</v>
      </c>
      <c r="F98" s="68"/>
      <c r="G98" s="68"/>
      <c r="H98" s="68"/>
      <c r="I98" s="68"/>
      <c r="J98" s="69"/>
    </row>
    <row r="99" spans="1:10" ht="42" customHeight="1" x14ac:dyDescent="0.3">
      <c r="B99" s="64" t="s">
        <v>174</v>
      </c>
      <c r="C99" s="64"/>
      <c r="D99" s="64"/>
      <c r="E99" s="87" t="s">
        <v>52</v>
      </c>
      <c r="F99" s="87"/>
      <c r="G99" s="66" t="s">
        <v>101</v>
      </c>
      <c r="H99" s="66"/>
      <c r="I99" s="66"/>
      <c r="J99" s="66"/>
    </row>
    <row r="100" spans="1:10" ht="51" customHeight="1" x14ac:dyDescent="0.3">
      <c r="A100" s="5"/>
      <c r="B100" s="65"/>
      <c r="C100" s="65"/>
      <c r="D100" s="65"/>
      <c r="E100" s="88" t="s">
        <v>53</v>
      </c>
      <c r="F100" s="88"/>
      <c r="G100" s="67"/>
      <c r="H100" s="67"/>
      <c r="I100" s="67"/>
      <c r="J100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6">
    <mergeCell ref="I9:J9"/>
    <mergeCell ref="E99:F99"/>
    <mergeCell ref="E100:F100"/>
    <mergeCell ref="G96:J96"/>
    <mergeCell ref="I71:J71"/>
    <mergeCell ref="I72:J72"/>
    <mergeCell ref="I73:J73"/>
    <mergeCell ref="I74:J74"/>
    <mergeCell ref="I75:J75"/>
    <mergeCell ref="I76:J76"/>
    <mergeCell ref="I77:J77"/>
    <mergeCell ref="I78:J78"/>
    <mergeCell ref="I91:J91"/>
    <mergeCell ref="I92:J92"/>
    <mergeCell ref="I93:J93"/>
    <mergeCell ref="I94:J94"/>
    <mergeCell ref="I95:J95"/>
    <mergeCell ref="B1:J1"/>
    <mergeCell ref="F2:J2"/>
    <mergeCell ref="B5:D6"/>
    <mergeCell ref="C2:D2"/>
    <mergeCell ref="C3:D3"/>
    <mergeCell ref="F3:J3"/>
    <mergeCell ref="E97:J97"/>
    <mergeCell ref="B7:D7"/>
    <mergeCell ref="I38:J38"/>
    <mergeCell ref="I39:J39"/>
    <mergeCell ref="I83:J83"/>
    <mergeCell ref="I84:J84"/>
    <mergeCell ref="I85:J85"/>
    <mergeCell ref="I86:J86"/>
    <mergeCell ref="I87:J87"/>
    <mergeCell ref="I89:J89"/>
    <mergeCell ref="I90:J90"/>
    <mergeCell ref="I30:J30"/>
    <mergeCell ref="I31:J31"/>
    <mergeCell ref="E5:H5"/>
    <mergeCell ref="I37:J37"/>
    <mergeCell ref="I5:J6"/>
    <mergeCell ref="I7:J7"/>
    <mergeCell ref="I10:J10"/>
    <mergeCell ref="B99:D100"/>
    <mergeCell ref="G99:J99"/>
    <mergeCell ref="G100:J100"/>
    <mergeCell ref="E98:J98"/>
    <mergeCell ref="I40:J40"/>
    <mergeCell ref="I41:J41"/>
    <mergeCell ref="I42:J42"/>
    <mergeCell ref="I43:J43"/>
    <mergeCell ref="I44:J44"/>
    <mergeCell ref="I80:J80"/>
    <mergeCell ref="I81:J81"/>
    <mergeCell ref="I82:J82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B98:D9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88:J8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47:J47"/>
    <mergeCell ref="B24:D24"/>
    <mergeCell ref="B25:D25"/>
    <mergeCell ref="I32:J32"/>
    <mergeCell ref="I33:J33"/>
    <mergeCell ref="I34:J34"/>
    <mergeCell ref="I35:J35"/>
    <mergeCell ref="I36:J36"/>
    <mergeCell ref="B96:D96"/>
    <mergeCell ref="B97:D97"/>
    <mergeCell ref="I48:J48"/>
    <mergeCell ref="I61:J61"/>
    <mergeCell ref="I62:J62"/>
    <mergeCell ref="I63:J63"/>
    <mergeCell ref="I64:J64"/>
    <mergeCell ref="I65:J65"/>
    <mergeCell ref="I66:J66"/>
    <mergeCell ref="I67:J67"/>
    <mergeCell ref="I69:J69"/>
    <mergeCell ref="I70:J70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4:D64"/>
    <mergeCell ref="B65:D65"/>
    <mergeCell ref="B66:D66"/>
    <mergeCell ref="B67:D67"/>
    <mergeCell ref="B69:D69"/>
    <mergeCell ref="B53:D53"/>
    <mergeCell ref="B54:D54"/>
    <mergeCell ref="B55:D55"/>
    <mergeCell ref="B56:D56"/>
    <mergeCell ref="B57:D57"/>
    <mergeCell ref="B58:D58"/>
    <mergeCell ref="B59:D59"/>
    <mergeCell ref="B60:D60"/>
    <mergeCell ref="B95:D95"/>
    <mergeCell ref="B8:J8"/>
    <mergeCell ref="B68:J68"/>
    <mergeCell ref="B79:J79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80:D80"/>
    <mergeCell ref="B81:D81"/>
    <mergeCell ref="B82:D82"/>
    <mergeCell ref="B83:D83"/>
    <mergeCell ref="B84:D84"/>
    <mergeCell ref="F4:J4"/>
    <mergeCell ref="C4:D4"/>
    <mergeCell ref="B88:D88"/>
    <mergeCell ref="B89:D89"/>
    <mergeCell ref="B90:D90"/>
    <mergeCell ref="B91:D91"/>
    <mergeCell ref="B92:D92"/>
    <mergeCell ref="B93:D93"/>
    <mergeCell ref="B94:D94"/>
    <mergeCell ref="B85:D85"/>
    <mergeCell ref="B86:D86"/>
    <mergeCell ref="B87:D87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61:D61"/>
    <mergeCell ref="B62:D62"/>
    <mergeCell ref="B63:D63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8">
    <cfRule type="expression" dxfId="20" priority="57">
      <formula>$E98="راسب"</formula>
    </cfRule>
  </conditionalFormatting>
  <conditionalFormatting sqref="E98:J98">
    <cfRule type="expression" dxfId="19" priority="58">
      <formula>$E98="مقبول"</formula>
    </cfRule>
    <cfRule type="expression" dxfId="18" priority="59">
      <formula>$E98="جيد"</formula>
    </cfRule>
    <cfRule type="expression" dxfId="17" priority="60">
      <formula>$E98="جيد جداً"</formula>
    </cfRule>
    <cfRule type="expression" dxfId="16" priority="61">
      <formula>$E98="ممتاز"</formula>
    </cfRule>
  </conditionalFormatting>
  <conditionalFormatting sqref="F9:F67">
    <cfRule type="containsText" dxfId="15" priority="4" operator="containsText" text="أدخل العلامة">
      <formula>NOT(ISERROR(SEARCH("أدخل العلامة",F9)))</formula>
    </cfRule>
  </conditionalFormatting>
  <conditionalFormatting sqref="F69:F78 H69:H78 F80:F95 H80:H95">
    <cfRule type="containsText" dxfId="14" priority="38" operator="containsText" text="أدخل العلامة">
      <formula>NOT(ISERROR(SEARCH("أدخل العلامة",F69)))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99:J99">
    <cfRule type="containsText" dxfId="11" priority="15" operator="containsText" text="أدخل اسم المحكم">
      <formula>NOT(ISERROR(SEARCH("أدخل اسم المحكم",G99)))</formula>
    </cfRule>
  </conditionalFormatting>
  <conditionalFormatting sqref="H9:H67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69:H78 H80:H95">
    <cfRule type="containsText" dxfId="4" priority="39" operator="containsText" text="ممتاز">
      <formula>NOT(ISERROR(SEARCH("ممتاز",H69)))</formula>
    </cfRule>
    <cfRule type="containsText" dxfId="3" priority="40" operator="containsText" text="جيد جداً">
      <formula>NOT(ISERROR(SEARCH("جيد جداً",H69)))</formula>
    </cfRule>
    <cfRule type="containsText" dxfId="2" priority="41" operator="containsText" text="جيد">
      <formula>NOT(ISERROR(SEARCH("جيد",H69)))</formula>
    </cfRule>
    <cfRule type="containsText" dxfId="1" priority="42" operator="containsText" text="مقبول">
      <formula>NOT(ISERROR(SEARCH("مقبول",H69)))</formula>
    </cfRule>
    <cfRule type="containsText" dxfId="0" priority="43" operator="containsText" text="راسب">
      <formula>NOT(ISERROR(SEARCH("راسب",H69)))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F62:F67 F55:F60 F50:F53 F46:F48 F43:F44 F37:F41 F28:F34 F21:F26 F14:F19 F11:F12 F9 F70:F78 F80:F95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G99:J99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2025-10-27T22:07:05Z</dcterms:modified>
</cp:coreProperties>
</file>