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7"/>
  <workbookPr filterPrivacy="1" codeName="ThisWorkbook"/>
  <xr:revisionPtr revIDLastSave="0" documentId="13_ncr:1_{8F87B144-1082-42C7-99AD-489A4F547BDE}" xr6:coauthVersionLast="36" xr6:coauthVersionMax="47" xr10:uidLastSave="{00000000-0000-0000-0000-000000000000}"/>
  <bookViews>
    <workbookView xWindow="-105" yWindow="-105" windowWidth="23250" windowHeight="12570" xr2:uid="{00000000-000D-0000-FFFF-FFFF00000000}"/>
  </bookViews>
  <sheets>
    <sheet name="قائمة التقييم" sheetId="2" r:id="rId1"/>
  </sheets>
  <definedNames>
    <definedName name="_Hlk189049083" localSheetId="0">'قائمة التقييم'!#REF!</definedName>
    <definedName name="_Hlk189049123" localSheetId="0">'قائمة التقييم'!$B$3</definedName>
    <definedName name="_xlnm.Print_Area" localSheetId="0">'قائمة التقييم'!$A$1:$J$114</definedName>
    <definedName name="_xlnm.Print_Titles" localSheetId="0">'قائمة التقييم'!$7:$7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 i="2" l="1"/>
  <c r="H9" i="2" s="1"/>
  <c r="G10" i="2" l="1"/>
  <c r="H10" i="2" s="1"/>
  <c r="G12" i="2"/>
  <c r="H12" i="2" s="1"/>
  <c r="G13" i="2"/>
  <c r="H13" i="2" s="1"/>
  <c r="G14" i="2"/>
  <c r="H14" i="2" s="1"/>
  <c r="G15" i="2"/>
  <c r="H15" i="2" s="1"/>
  <c r="G17" i="2"/>
  <c r="H17" i="2" s="1"/>
  <c r="G18" i="2"/>
  <c r="H18" i="2" s="1"/>
  <c r="G19" i="2"/>
  <c r="H19" i="2" s="1"/>
  <c r="G20" i="2"/>
  <c r="H20" i="2" s="1"/>
  <c r="G21" i="2"/>
  <c r="H21" i="2" s="1"/>
  <c r="G22" i="2"/>
  <c r="H22" i="2" s="1"/>
  <c r="G23" i="2"/>
  <c r="H23" i="2" s="1"/>
  <c r="G24" i="2"/>
  <c r="H24" i="2" s="1"/>
  <c r="G25" i="2"/>
  <c r="H25" i="2" s="1"/>
  <c r="G26" i="2"/>
  <c r="H26" i="2" s="1"/>
  <c r="G28" i="2"/>
  <c r="H28" i="2" s="1"/>
  <c r="G29" i="2"/>
  <c r="H29" i="2" s="1"/>
  <c r="G30" i="2"/>
  <c r="H30" i="2" s="1"/>
  <c r="G31" i="2"/>
  <c r="H31" i="2" s="1"/>
  <c r="G32" i="2"/>
  <c r="H32" i="2" s="1"/>
  <c r="G33" i="2"/>
  <c r="H33" i="2" s="1"/>
  <c r="G35" i="2"/>
  <c r="H35" i="2" s="1"/>
  <c r="G36" i="2"/>
  <c r="H36" i="2" s="1"/>
  <c r="G37" i="2"/>
  <c r="H37" i="2" s="1"/>
  <c r="G38" i="2"/>
  <c r="H38" i="2" s="1"/>
  <c r="G39" i="2"/>
  <c r="H39" i="2" s="1"/>
  <c r="G42" i="2"/>
  <c r="H42" i="2" s="1"/>
  <c r="G43" i="2"/>
  <c r="H43" i="2" s="1"/>
  <c r="G44" i="2"/>
  <c r="H44" i="2" s="1"/>
  <c r="G46" i="2"/>
  <c r="H46" i="2" s="1"/>
  <c r="G47" i="2"/>
  <c r="H47" i="2" s="1"/>
  <c r="G48" i="2"/>
  <c r="H48" i="2" s="1"/>
  <c r="G49" i="2"/>
  <c r="H49" i="2" s="1"/>
  <c r="G50" i="2"/>
  <c r="H50" i="2" s="1"/>
  <c r="G51" i="2"/>
  <c r="H51" i="2" s="1"/>
  <c r="G54" i="2"/>
  <c r="H54" i="2" s="1"/>
  <c r="G55" i="2"/>
  <c r="H55" i="2" s="1"/>
  <c r="G56" i="2"/>
  <c r="H56" i="2" s="1"/>
  <c r="G58" i="2"/>
  <c r="H58" i="2" s="1"/>
  <c r="G59" i="2"/>
  <c r="H59" i="2" s="1"/>
  <c r="G60" i="2"/>
  <c r="H60" i="2" s="1"/>
  <c r="G61" i="2"/>
  <c r="H61" i="2" s="1"/>
  <c r="G62" i="2"/>
  <c r="H62" i="2" s="1"/>
  <c r="G63" i="2"/>
  <c r="H63" i="2" s="1"/>
  <c r="G66" i="2"/>
  <c r="H66" i="2" s="1"/>
  <c r="G67" i="2"/>
  <c r="H67" i="2" s="1"/>
  <c r="G68" i="2"/>
  <c r="H68" i="2" s="1"/>
  <c r="G69" i="2"/>
  <c r="H69" i="2" s="1"/>
  <c r="G71" i="2"/>
  <c r="H71" i="2" s="1"/>
  <c r="G72" i="2"/>
  <c r="H72" i="2" s="1"/>
  <c r="G73" i="2"/>
  <c r="H73" i="2" s="1"/>
  <c r="G74" i="2"/>
  <c r="H74" i="2" s="1"/>
  <c r="G75" i="2"/>
  <c r="H75" i="2" s="1"/>
  <c r="G77" i="2"/>
  <c r="H77" i="2" s="1"/>
  <c r="G78" i="2"/>
  <c r="H78" i="2" s="1"/>
  <c r="G79" i="2"/>
  <c r="H79" i="2" s="1"/>
  <c r="G80" i="2"/>
  <c r="H80" i="2" s="1"/>
  <c r="G82" i="2"/>
  <c r="H82" i="2" s="1"/>
  <c r="G85" i="2"/>
  <c r="H85" i="2" s="1"/>
  <c r="G86" i="2"/>
  <c r="H86" i="2" s="1"/>
  <c r="G87" i="2"/>
  <c r="H87" i="2" s="1"/>
  <c r="G88" i="2"/>
  <c r="H88" i="2" s="1"/>
  <c r="G89" i="2"/>
  <c r="H89" i="2" s="1"/>
  <c r="G90" i="2"/>
  <c r="H90" i="2" s="1"/>
  <c r="G91" i="2"/>
  <c r="H91" i="2" s="1"/>
  <c r="G93" i="2"/>
  <c r="H93" i="2" s="1"/>
  <c r="G94" i="2"/>
  <c r="H94" i="2" s="1"/>
  <c r="G95" i="2"/>
  <c r="H95" i="2" s="1"/>
  <c r="G96" i="2"/>
  <c r="H96" i="2" s="1"/>
  <c r="G97" i="2"/>
  <c r="H97" i="2" s="1"/>
  <c r="G100" i="2"/>
  <c r="H100" i="2" s="1"/>
  <c r="G101" i="2"/>
  <c r="H101" i="2" s="1"/>
  <c r="G102" i="2"/>
  <c r="H102" i="2" s="1"/>
  <c r="G104" i="2"/>
  <c r="H104" i="2" s="1"/>
  <c r="G105" i="2"/>
  <c r="H105" i="2" s="1"/>
  <c r="G107" i="2"/>
  <c r="H107" i="2" s="1"/>
  <c r="G108" i="2"/>
  <c r="H108" i="2" s="1"/>
  <c r="G109" i="2"/>
  <c r="H109" i="2" s="1"/>
  <c r="G8" i="2" l="1"/>
  <c r="H8" i="2" s="1"/>
  <c r="F110" i="2" l="1"/>
  <c r="E110" i="2" l="1"/>
  <c r="E111" i="2" l="1"/>
  <c r="E112" i="2" s="1"/>
</calcChain>
</file>

<file path=xl/sharedStrings.xml><?xml version="1.0" encoding="utf-8"?>
<sst xmlns="http://schemas.openxmlformats.org/spreadsheetml/2006/main" count="213" uniqueCount="133">
  <si>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</si>
  <si>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</si>
  <si>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</si>
  <si>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</si>
  <si>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</si>
  <si>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</si>
  <si>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</si>
  <si>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</si>
  <si>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</si>
  <si>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</si>
  <si>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(ب)</t>
  </si>
  <si>
    <t>(جـ)</t>
  </si>
  <si>
    <t>(هـ)</t>
  </si>
  <si>
    <t>( أ )</t>
  </si>
  <si>
    <t>( د )</t>
  </si>
  <si>
    <t>النسبة</t>
  </si>
  <si>
    <t>النتيجة</t>
  </si>
  <si>
    <t>( و )</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</si>
  <si>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</si>
  <si>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</si>
  <si>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</si>
  <si>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</si>
  <si>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</si>
  <si>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</si>
  <si>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أدخل اسم المحكم</t>
  </si>
  <si>
    <t>أدخل اسم قائد الوحدة الخاضعة للتقييم</t>
  </si>
  <si>
    <t>أدخل العلامة</t>
  </si>
  <si>
    <t>1.   تنظيم جلوس قسم الأمر.</t>
  </si>
  <si>
    <r>
      <t xml:space="preserve">أ.   </t>
    </r>
    <r>
      <rPr>
        <u/>
        <sz val="12"/>
        <color rgb="FF000000"/>
        <rFont val="Arial"/>
        <family val="2"/>
      </rPr>
      <t>منطقة الاهتمام</t>
    </r>
    <r>
      <rPr>
        <sz val="12"/>
        <color rgb="FF000000"/>
        <rFont val="Arial"/>
        <family val="2"/>
      </rPr>
      <t>.</t>
    </r>
  </si>
  <si>
    <r>
      <t xml:space="preserve">ب.  </t>
    </r>
    <r>
      <rPr>
        <u/>
        <sz val="12"/>
        <color rgb="FF000000"/>
        <rFont val="Arial"/>
        <family val="2"/>
      </rPr>
      <t>منطقة العمليات</t>
    </r>
    <r>
      <rPr>
        <sz val="12"/>
        <color rgb="FF000000"/>
        <rFont val="Arial"/>
        <family val="2"/>
      </rPr>
      <t>.</t>
    </r>
  </si>
  <si>
    <t xml:space="preserve">أ.   نظام معركة العدو.   </t>
  </si>
  <si>
    <t>ب.  توزيعاته.</t>
  </si>
  <si>
    <t>جـ.  قصده.</t>
  </si>
  <si>
    <t>د.   هويته.</t>
  </si>
  <si>
    <t>هـ.  تعزيزاته.</t>
  </si>
  <si>
    <t>و.   قدرات إسناد العدو.</t>
  </si>
  <si>
    <t>ز.   نقاط القوة ونقاط الضعف.</t>
  </si>
  <si>
    <t>ح.   معنوياته.</t>
  </si>
  <si>
    <t>ط.  امكانياته.</t>
  </si>
  <si>
    <t>ي.  عمل العدو الأكثر احتمالا.</t>
  </si>
  <si>
    <t>أ.   مهمة وقصد القيادة العليا (مستويين أعلى).</t>
  </si>
  <si>
    <t>ب.  مهام الوحدات المجاورة ( يمين ثم يسار وثم أمام وثم خلف).</t>
  </si>
  <si>
    <t>جـ.  مهام وحدات الاسناد (وحدات الإسناد التي تساند المستوى الأعلى).</t>
  </si>
  <si>
    <t>د.   الهيئات الحكومية وغير الحكومية (تبرز بشكل خاص في مهام الاستقرار وإسناد السلطات المدنية).</t>
  </si>
  <si>
    <t>هـ.  الملحقون والمنفصلون.</t>
  </si>
  <si>
    <t>و.   الموقف الجوي (إذا كان الموقف الجوي متعادل يكتب كفقرة مستقلة).</t>
  </si>
  <si>
    <t>أ.   ماذا؟</t>
  </si>
  <si>
    <t>ب.  من؟</t>
  </si>
  <si>
    <t>جـ.  متى؟</t>
  </si>
  <si>
    <t>د.   أين؟</t>
  </si>
  <si>
    <t>هـ.  لماذا؟</t>
  </si>
  <si>
    <r>
      <t xml:space="preserve">8.   </t>
    </r>
    <r>
      <rPr>
        <b/>
        <u/>
        <sz val="12"/>
        <color rgb="FF000000"/>
        <rFont val="Arial"/>
        <family val="2"/>
      </rPr>
      <t>التنفيــذ</t>
    </r>
    <r>
      <rPr>
        <sz val="12"/>
        <color rgb="FF000000"/>
        <rFont val="Arial"/>
        <family val="2"/>
      </rPr>
      <t>.</t>
    </r>
  </si>
  <si>
    <r>
      <t xml:space="preserve">(1)  </t>
    </r>
    <r>
      <rPr>
        <u/>
        <sz val="12"/>
        <color rgb="FF000000"/>
        <rFont val="Arial"/>
        <family val="2"/>
      </rPr>
      <t>القصد</t>
    </r>
    <r>
      <rPr>
        <sz val="12"/>
        <color rgb="FF000000"/>
        <rFont val="Arial"/>
        <family val="2"/>
      </rPr>
      <t>.   (ماذا ولماذا).</t>
    </r>
  </si>
  <si>
    <r>
      <t xml:space="preserve">(2)  </t>
    </r>
    <r>
      <rPr>
        <u/>
        <sz val="12"/>
        <color rgb="FF000000"/>
        <rFont val="Arial"/>
        <family val="2"/>
      </rPr>
      <t>الواجبات الرئيسة</t>
    </r>
    <r>
      <rPr>
        <sz val="12"/>
        <color rgb="FF000000"/>
        <rFont val="Arial"/>
        <family val="2"/>
      </rPr>
      <t>. هي واجبات ضرورية لإنجاح المهمة وقد تشتمل على الواجبات الأساسية (لا تزيد عن 5 واجبات).</t>
    </r>
  </si>
  <si>
    <r>
      <t xml:space="preserve">(3)  </t>
    </r>
    <r>
      <rPr>
        <u/>
        <sz val="12"/>
        <color rgb="FF000000"/>
        <rFont val="Arial"/>
        <family val="2"/>
      </rPr>
      <t>النهاية المرغوبة</t>
    </r>
    <r>
      <rPr>
        <sz val="12"/>
        <color rgb="FF000000"/>
        <rFont val="Arial"/>
        <family val="2"/>
      </rPr>
      <t>. وتتضمن حالة العدو، قواتنا، الارض والمدنيين بعد انتهاء العمليات.</t>
    </r>
  </si>
  <si>
    <r>
      <t xml:space="preserve">(1)  </t>
    </r>
    <r>
      <rPr>
        <u/>
        <sz val="12"/>
        <color rgb="FF000000"/>
        <rFont val="Arial"/>
        <family val="2"/>
      </rPr>
      <t>عــــام.</t>
    </r>
    <r>
      <rPr>
        <sz val="12"/>
        <color rgb="FF000000"/>
        <rFont val="Arial"/>
        <family val="2"/>
      </rPr>
      <t xml:space="preserve">   يجيب عن ماذا، من، اين، كيف، لماذا وتشمل عمليات التمهيد والعمليات الحاسمة وعمليات الادامة.</t>
    </r>
  </si>
  <si>
    <r>
      <t xml:space="preserve">(3)  </t>
    </r>
    <r>
      <rPr>
        <u/>
        <sz val="12"/>
        <color rgb="FF000000"/>
        <rFont val="Arial"/>
        <family val="2"/>
      </rPr>
      <t>النيران.</t>
    </r>
    <r>
      <rPr>
        <sz val="12"/>
        <color rgb="FF000000"/>
        <rFont val="Arial"/>
        <family val="2"/>
      </rPr>
      <t xml:space="preserve">   يتم ذكر الواجب الرئيسي لوحدات المدفعية والغرض من الواجب ثم تحديد أولوية النيران في كل مرحلة.</t>
    </r>
  </si>
  <si>
    <r>
      <t xml:space="preserve">(5)  </t>
    </r>
    <r>
      <rPr>
        <u/>
        <sz val="12"/>
        <color rgb="FF000000"/>
        <rFont val="Arial"/>
        <family val="2"/>
      </rPr>
      <t>الحماية.</t>
    </r>
    <r>
      <rPr>
        <sz val="12"/>
        <color rgb="FF000000"/>
        <rFont val="Arial"/>
        <family val="2"/>
      </rPr>
      <t xml:space="preserve"> (تصور القائد لكيفية استخدام عناصر الحماية لإسناد مفهوم العمليات حسب توفرها في كل مرحلة مثل (الدفاع الجوي والشرطة العسكرية والطبية والامن والاسناد الهندسي والدفاع الكيميائي ....الخ).</t>
    </r>
  </si>
  <si>
    <t>(6)  عمليات الاستقرار وإسناد السلطات المدنية. (التنسيق مع السلطات المدنية من خلال تنفيذ الواجبات في حال التحول للعمل لهذه العمليات).</t>
  </si>
  <si>
    <r>
      <t xml:space="preserve">جـ.  </t>
    </r>
    <r>
      <rPr>
        <u/>
        <sz val="12"/>
        <color rgb="FF000000"/>
        <rFont val="Arial"/>
        <family val="2"/>
      </rPr>
      <t>واجبات الوحدات المرؤوسة</t>
    </r>
    <r>
      <rPr>
        <sz val="12"/>
        <color rgb="FF000000"/>
        <rFont val="Arial"/>
        <family val="2"/>
      </rPr>
      <t>. تقدم من قبل قائد المصدر للأمر ويشمل واجبات الكتائب / مجاميع القتال وتدرج حسب أقدميتها (الرقم، الصنف) وحسب التجميع للواجب.</t>
    </r>
  </si>
  <si>
    <t>(1)  قوات الحجاب / نقاط القتال الخارجية.</t>
  </si>
  <si>
    <t>( أ ) القائد.</t>
  </si>
  <si>
    <t>(ب) التأليف.</t>
  </si>
  <si>
    <t>(جـ) الواجبات.</t>
  </si>
  <si>
    <t>( و) أي وحدات أخرى.</t>
  </si>
  <si>
    <r>
      <t xml:space="preserve">(3)  </t>
    </r>
    <r>
      <rPr>
        <u/>
        <sz val="12"/>
        <color rgb="FF000000"/>
        <rFont val="Arial"/>
        <family val="2"/>
      </rPr>
      <t>نيران الإسناد</t>
    </r>
    <r>
      <rPr>
        <sz val="12"/>
        <color rgb="FF000000"/>
        <rFont val="Arial"/>
        <family val="2"/>
      </rPr>
      <t>.</t>
    </r>
  </si>
  <si>
    <t>( أ ) المدفعية.</t>
  </si>
  <si>
    <t>( أ أ ) عــام.</t>
  </si>
  <si>
    <t>(ب ب) أولوية النيران.</t>
  </si>
  <si>
    <t>(جـ جـ) التنظيم للقتال.</t>
  </si>
  <si>
    <t>( د د ) التعليمات الخاصة.</t>
  </si>
  <si>
    <r>
      <t xml:space="preserve">أ.   </t>
    </r>
    <r>
      <rPr>
        <u/>
        <sz val="12"/>
        <color rgb="FF000000"/>
        <rFont val="Arial"/>
        <family val="2"/>
      </rPr>
      <t>التوقيتات.</t>
    </r>
    <r>
      <rPr>
        <sz val="12"/>
        <color rgb="FF000000"/>
        <rFont val="Arial"/>
        <family val="2"/>
      </rPr>
      <t xml:space="preserve"> توقيت سريان التجميع للواجب وأي توقيتات أخرى.</t>
    </r>
  </si>
  <si>
    <r>
      <t xml:space="preserve">ب.  </t>
    </r>
    <r>
      <rPr>
        <u/>
        <sz val="12"/>
        <color rgb="FF000000"/>
        <rFont val="Arial"/>
        <family val="2"/>
      </rPr>
      <t>الحدود</t>
    </r>
    <r>
      <rPr>
        <sz val="12"/>
        <color rgb="FF000000"/>
        <rFont val="Arial"/>
        <family val="2"/>
      </rPr>
      <t>.</t>
    </r>
  </si>
  <si>
    <r>
      <t xml:space="preserve">جـ.  </t>
    </r>
    <r>
      <rPr>
        <u/>
        <sz val="12"/>
        <color rgb="FF000000"/>
        <rFont val="Arial"/>
        <family val="2"/>
      </rPr>
      <t>الطرق</t>
    </r>
    <r>
      <rPr>
        <sz val="12"/>
        <color rgb="FF000000"/>
        <rFont val="Arial"/>
        <family val="2"/>
      </rPr>
      <t>.</t>
    </r>
  </si>
  <si>
    <r>
      <t xml:space="preserve">د.   </t>
    </r>
    <r>
      <rPr>
        <u/>
        <sz val="12"/>
        <color rgb="FF000000"/>
        <rFont val="Arial"/>
        <family val="2"/>
      </rPr>
      <t>نقاط التنسيق</t>
    </r>
    <r>
      <rPr>
        <sz val="12"/>
        <color rgb="FF000000"/>
        <rFont val="Arial"/>
        <family val="2"/>
      </rPr>
      <t>.</t>
    </r>
  </si>
  <si>
    <r>
      <t xml:space="preserve">هـ.  </t>
    </r>
    <r>
      <rPr>
        <u/>
        <sz val="12"/>
        <color rgb="FF000000"/>
        <rFont val="Arial"/>
        <family val="2"/>
      </rPr>
      <t>قواعد الاشتباك</t>
    </r>
    <r>
      <rPr>
        <sz val="12"/>
        <color rgb="FF000000"/>
        <rFont val="Arial"/>
        <family val="2"/>
      </rPr>
      <t>.</t>
    </r>
  </si>
  <si>
    <r>
      <t xml:space="preserve">و.   </t>
    </r>
    <r>
      <rPr>
        <u/>
        <sz val="12"/>
        <color rgb="FF000000"/>
        <rFont val="Arial"/>
        <family val="2"/>
      </rPr>
      <t>متطلبات القائد من المعلومات الحرجة.</t>
    </r>
  </si>
  <si>
    <r>
      <t xml:space="preserve">(1)  </t>
    </r>
    <r>
      <rPr>
        <u/>
        <sz val="12"/>
        <color rgb="FF000000"/>
        <rFont val="Arial"/>
        <family val="2"/>
      </rPr>
      <t>متطلبات الاستخبارات ذات الأولوية</t>
    </r>
    <r>
      <rPr>
        <sz val="12"/>
        <color rgb="FF000000"/>
        <rFont val="Arial"/>
        <family val="2"/>
      </rPr>
      <t>. (ماذا يريد أن يعرف القائد عن العدو).</t>
    </r>
  </si>
  <si>
    <r>
      <t xml:space="preserve">(2)  </t>
    </r>
    <r>
      <rPr>
        <u/>
        <sz val="12"/>
        <color rgb="FF000000"/>
        <rFont val="Arial"/>
        <family val="2"/>
      </rPr>
      <t>متطلبات معلومات القوات الصديقة</t>
    </r>
    <r>
      <rPr>
        <sz val="12"/>
        <color rgb="FF000000"/>
        <rFont val="Arial"/>
        <family val="2"/>
      </rPr>
      <t>. (ماذا يريد أن يعرف القائد عن قواتنا).</t>
    </r>
  </si>
  <si>
    <r>
      <t xml:space="preserve">(3)  </t>
    </r>
    <r>
      <rPr>
        <u/>
        <sz val="12"/>
        <color rgb="FF000000"/>
        <rFont val="Arial"/>
        <family val="2"/>
      </rPr>
      <t>معلومات عن قواتنا يجب إخفاؤها عن العدو</t>
    </r>
    <r>
      <rPr>
        <sz val="12"/>
        <color rgb="FF000000"/>
        <rFont val="Arial"/>
        <family val="2"/>
      </rPr>
      <t>.   (الجوانب الهامة من عمليات القوات الصديقة إذا ما عرفها العدو تعرض العملية للخطر).</t>
    </r>
  </si>
  <si>
    <t>ز.   أيُّ تعليمات إضافية.</t>
  </si>
  <si>
    <r>
      <t xml:space="preserve">أ.   </t>
    </r>
    <r>
      <rPr>
        <u/>
        <sz val="12"/>
        <color rgb="FF000000"/>
        <rFont val="Arial"/>
        <family val="2"/>
      </rPr>
      <t>مفهوم الإدامة</t>
    </r>
    <r>
      <rPr>
        <sz val="12"/>
        <color rgb="FF000000"/>
        <rFont val="Arial"/>
        <family val="2"/>
      </rPr>
      <t>.</t>
    </r>
  </si>
  <si>
    <r>
      <t xml:space="preserve">ب.  </t>
    </r>
    <r>
      <rPr>
        <u/>
        <sz val="12"/>
        <color rgb="FF000000"/>
        <rFont val="Arial"/>
        <family val="2"/>
      </rPr>
      <t>المواد والخدمات</t>
    </r>
    <r>
      <rPr>
        <sz val="12"/>
        <color rgb="FF000000"/>
        <rFont val="Arial"/>
        <family val="2"/>
      </rPr>
      <t>. وتشمل ما يلي:</t>
    </r>
  </si>
  <si>
    <t>(1)  التزويد.</t>
  </si>
  <si>
    <t>( أ ) الأرزاق.</t>
  </si>
  <si>
    <t>(ب) الوقود.</t>
  </si>
  <si>
    <t>(جـ) الذخيرة.</t>
  </si>
  <si>
    <t>( د ) المياه.</t>
  </si>
  <si>
    <t>(2)  النقليات.</t>
  </si>
  <si>
    <t>(3)  الصيانة.</t>
  </si>
  <si>
    <r>
      <t>جـ.  ا</t>
    </r>
    <r>
      <rPr>
        <u/>
        <sz val="12"/>
        <color rgb="FF000000"/>
        <rFont val="Arial"/>
        <family val="2"/>
      </rPr>
      <t>لخدمات الطبية</t>
    </r>
    <r>
      <rPr>
        <sz val="12"/>
        <color rgb="FF000000"/>
        <rFont val="Arial"/>
        <family val="2"/>
      </rPr>
      <t>.</t>
    </r>
  </si>
  <si>
    <r>
      <t xml:space="preserve">د.   </t>
    </r>
    <r>
      <rPr>
        <u/>
        <sz val="12"/>
        <color rgb="FF000000"/>
        <rFont val="Arial"/>
        <family val="2"/>
      </rPr>
      <t>القوى البشرية</t>
    </r>
    <r>
      <rPr>
        <sz val="12"/>
        <color rgb="FF000000"/>
        <rFont val="Arial"/>
        <family val="2"/>
      </rPr>
      <t>.</t>
    </r>
  </si>
  <si>
    <t>(1)  التعزيز.</t>
  </si>
  <si>
    <t>(2)  الشهداء.</t>
  </si>
  <si>
    <t>(3)  أسرى الحرب.</t>
  </si>
  <si>
    <t>(4)  الخسائر.</t>
  </si>
  <si>
    <t>(5)  المدنيين.</t>
  </si>
  <si>
    <r>
      <t xml:space="preserve">أ.   </t>
    </r>
    <r>
      <rPr>
        <u/>
        <sz val="12"/>
        <color rgb="FF000000"/>
        <rFont val="Arial"/>
        <family val="2"/>
      </rPr>
      <t>القيادة.</t>
    </r>
  </si>
  <si>
    <t xml:space="preserve">(1)  موقع القائد.   </t>
  </si>
  <si>
    <t>(2)  تسلسل القيادة.</t>
  </si>
  <si>
    <t>(3)  متطلبات الارتباط.</t>
  </si>
  <si>
    <r>
      <t xml:space="preserve">ب.  </t>
    </r>
    <r>
      <rPr>
        <u/>
        <sz val="12"/>
        <color rgb="FF000000"/>
        <rFont val="Arial"/>
        <family val="2"/>
      </rPr>
      <t>السيطرة.</t>
    </r>
  </si>
  <si>
    <t>(1)  مركز القيادة. (الرئيسي، البديل، مركز السيطرة الخلفي).</t>
  </si>
  <si>
    <t>(2)  التقارير.</t>
  </si>
  <si>
    <r>
      <t xml:space="preserve">جـ.  </t>
    </r>
    <r>
      <rPr>
        <u/>
        <sz val="12"/>
        <color rgb="FF000000"/>
        <rFont val="Arial"/>
        <family val="2"/>
      </rPr>
      <t>الاتصالات.</t>
    </r>
  </si>
  <si>
    <t>(1)  التعليمات الإشارية. (التقيد بالتعليمات الإشارية الواردة في ملحق أمر العمليات).</t>
  </si>
  <si>
    <t>(2)  الكلمات الرمزية.</t>
  </si>
  <si>
    <t>يقيم في أمر العمليات التحريري وتعطى (5) علامات لكل بند</t>
  </si>
  <si>
    <t>في حال وجود أو عدم وجود وحدات أخرى يتم تعديل علامة التقييم بالإضافة أو الحذف</t>
  </si>
  <si>
    <r>
      <t>ملاحظـــات</t>
    </r>
    <r>
      <rPr>
        <b/>
        <sz val="12"/>
        <color rgb="FF000000"/>
        <rFont val="Arial"/>
        <family val="2"/>
      </rPr>
      <t xml:space="preserve">: 
</t>
    </r>
    <r>
      <rPr>
        <sz val="12"/>
        <color rgb="FF000000"/>
        <rFont val="Arial"/>
        <family val="2"/>
      </rPr>
      <t>1.    يعتبر هذا النموذج (سري للغاية) بعد إدخال علامات التقييم.
2.    نموذج التقييم قابل للتطوير والتعديل.
3.    حمل الخرائط من قبل قسم الأمر وتكون مؤشرة.
4.    تأشير الخرائط من قبل هيئة الركن في القيادات.
5.    الالتزام بلباس المعركة كامل.
6.    الوصف الدقيق لطبيعة الأرض وقوات العدو.
7.    متابعة القائد من قبل قسم الأمر أثناء إعطاء الأمر.
8.    التأكد من التسلسل المنطقي لفقرات الأمر.
9.    التأكد عند إعطاء أمر العمليات من تطابق الخطة مع الطاولة الرملية.
10.    التأكد من توزيع التجميع للواجب لجميع الوحدات المرؤوسة.
11.    التأكيدات بعد إعطاء الأوامر من قبل القائد.
12.    التأكد من أن قصد القائد يخدم قصد القيادة الأعلى ولا يتشابه معه.</t>
    </r>
  </si>
  <si>
    <t>2.   يقوم قائد الكتيبة أو ضابط العمليات بتفقد المشاركين.</t>
  </si>
  <si>
    <t>3.   قيام قائد الكتيبة أو ضابط العمليات بتحفيز قسم الأمر والتأكد من الجاهزية وفهم تطورات الموقف.</t>
  </si>
  <si>
    <r>
      <t xml:space="preserve">4.   </t>
    </r>
    <r>
      <rPr>
        <b/>
        <u/>
        <sz val="12"/>
        <color rgb="FF000000"/>
        <rFont val="Arial"/>
        <family val="2"/>
      </rPr>
      <t>الموقــــف.</t>
    </r>
    <r>
      <rPr>
        <sz val="12"/>
        <color rgb="FF000000"/>
        <rFont val="Arial"/>
        <family val="2"/>
      </rPr>
      <t xml:space="preserve"> قائد الكتيبة أو ضابط العمليات (الآن أوامر) وتحديد منطقة العمليات ومنطقة الاهتمام.</t>
    </r>
  </si>
  <si>
    <r>
      <t xml:space="preserve">جـ.  </t>
    </r>
    <r>
      <rPr>
        <u/>
        <sz val="12"/>
        <color rgb="FF000000"/>
        <rFont val="Arial"/>
        <family val="2"/>
      </rPr>
      <t>تحليل الأرض والطقس</t>
    </r>
    <r>
      <rPr>
        <sz val="12"/>
        <color rgb="FF000000"/>
        <rFont val="Arial"/>
        <family val="2"/>
      </rPr>
      <t>.  من قبل ضابط العمليات أو الاستخبارات.</t>
    </r>
  </si>
  <si>
    <r>
      <t>د.   ا</t>
    </r>
    <r>
      <rPr>
        <u/>
        <sz val="12"/>
        <color rgb="FF000000"/>
        <rFont val="Arial"/>
        <family val="2"/>
      </rPr>
      <t>لاعتبارات المدنية</t>
    </r>
    <r>
      <rPr>
        <sz val="12"/>
        <color rgb="FF000000"/>
        <rFont val="Arial"/>
        <family val="2"/>
      </rPr>
      <t>. تقدم من قبل ضابط العمليات وتشمل: (السكان، نوعية المجتمع، الفئة العمرية الديانة، اللغة، الولاء، التركيبة الاجتماعية) البنية التحتية، (الكهرباء، المياه، الطرق، المواصلات).</t>
    </r>
  </si>
  <si>
    <r>
      <t xml:space="preserve">5.  </t>
    </r>
    <r>
      <rPr>
        <b/>
        <u/>
        <sz val="12"/>
        <color rgb="FF000000"/>
        <rFont val="Arial"/>
        <family val="2"/>
      </rPr>
      <t xml:space="preserve"> قوات العــــــدو</t>
    </r>
    <r>
      <rPr>
        <sz val="12"/>
        <color rgb="FF000000"/>
        <rFont val="Arial"/>
        <family val="2"/>
      </rPr>
      <t>.   تقدم من قبل ضابط الاستخبارات.</t>
    </r>
  </si>
  <si>
    <r>
      <t xml:space="preserve">6.   </t>
    </r>
    <r>
      <rPr>
        <b/>
        <u/>
        <sz val="12"/>
        <color rgb="FF000000"/>
        <rFont val="Arial"/>
        <family val="2"/>
      </rPr>
      <t>قواتنا</t>
    </r>
    <r>
      <rPr>
        <sz val="12"/>
        <color rgb="FF000000"/>
        <rFont val="Arial"/>
        <family val="2"/>
      </rPr>
      <t>.   تقدم من قبل ضابط العمليات.</t>
    </r>
  </si>
  <si>
    <r>
      <t xml:space="preserve">7.   </t>
    </r>
    <r>
      <rPr>
        <b/>
        <u/>
        <sz val="12"/>
        <color rgb="FF000000"/>
        <rFont val="Arial"/>
        <family val="2"/>
      </rPr>
      <t>المهمــــة.</t>
    </r>
    <r>
      <rPr>
        <sz val="12"/>
        <color rgb="FF000000"/>
        <rFont val="Arial"/>
        <family val="2"/>
      </rPr>
      <t xml:space="preserve"> تقدم من قبل قائد الكتيبة وهي عبارة عن جملة واضحة وصريحة تحدد:</t>
    </r>
  </si>
  <si>
    <r>
      <t xml:space="preserve">أ.   </t>
    </r>
    <r>
      <rPr>
        <u/>
        <sz val="12"/>
        <color rgb="FF000000"/>
        <rFont val="Arial"/>
        <family val="2"/>
      </rPr>
      <t>قصد القائد</t>
    </r>
    <r>
      <rPr>
        <sz val="12"/>
        <color rgb="FF000000"/>
        <rFont val="Arial"/>
        <family val="2"/>
      </rPr>
      <t>.</t>
    </r>
    <r>
      <rPr>
        <b/>
        <sz val="12"/>
        <color rgb="FF000000"/>
        <rFont val="Arial"/>
        <family val="2"/>
      </rPr>
      <t xml:space="preserve">   </t>
    </r>
    <r>
      <rPr>
        <sz val="12"/>
        <color rgb="FF000000"/>
        <rFont val="Arial"/>
        <family val="2"/>
      </rPr>
      <t>(القائد المصدر للأمر) ويقدم من قبل قائد الكتيبة ويشمل:</t>
    </r>
  </si>
  <si>
    <r>
      <t xml:space="preserve">(4)  </t>
    </r>
    <r>
      <rPr>
        <u/>
        <sz val="12"/>
        <color rgb="FF000000"/>
        <rFont val="Arial"/>
        <family val="2"/>
      </rPr>
      <t>قابلية الحركة/ إعاقة العدو</t>
    </r>
    <r>
      <rPr>
        <sz val="12"/>
        <color rgb="FF000000"/>
        <rFont val="Arial"/>
        <family val="2"/>
      </rPr>
      <t>.   (تظهر في حالة عمل الكتيبة في شكل مستقل وتوفر الاسناد الهندسي أو إذا تم إلحاق فصيل هندسة للكتيبة).</t>
    </r>
  </si>
  <si>
    <r>
      <t xml:space="preserve">(2)  </t>
    </r>
    <r>
      <rPr>
        <u/>
        <sz val="12"/>
        <color rgb="FF000000"/>
        <rFont val="Arial"/>
        <family val="2"/>
      </rPr>
      <t>السرايا / وفرق القتال</t>
    </r>
    <r>
      <rPr>
        <sz val="12"/>
        <color rgb="FF000000"/>
        <rFont val="Arial"/>
        <family val="2"/>
      </rPr>
      <t>. تدرج حسب اقدميه الصنف (الرقم ثم العناصر المقاتلة والمساندة).</t>
    </r>
  </si>
  <si>
    <t>( أ ) السرية/1.</t>
  </si>
  <si>
    <t>(ب) السرية/2.</t>
  </si>
  <si>
    <t>(جـ) السرية/3.</t>
  </si>
  <si>
    <t>( د) فصيل الـ م/د.</t>
  </si>
  <si>
    <t>(هـ) فصيل الاستطلاع.</t>
  </si>
  <si>
    <r>
      <t xml:space="preserve">9.   </t>
    </r>
    <r>
      <rPr>
        <b/>
        <u/>
        <sz val="12"/>
        <color rgb="FF000000"/>
        <rFont val="Arial"/>
        <family val="2"/>
      </rPr>
      <t>تعليمات التنسيق</t>
    </r>
    <r>
      <rPr>
        <sz val="12"/>
        <color rgb="FF000000"/>
        <rFont val="Arial"/>
        <family val="2"/>
      </rPr>
      <t>. تقدم من قبل ضابط العمليات.</t>
    </r>
  </si>
  <si>
    <r>
      <t>10.</t>
    </r>
    <r>
      <rPr>
        <sz val="12"/>
        <color rgb="FF000000"/>
        <rFont val="Times New Roman"/>
        <family val="1"/>
      </rPr>
      <t xml:space="preserve">  </t>
    </r>
    <r>
      <rPr>
        <b/>
        <u/>
        <sz val="12"/>
        <color rgb="FF000000"/>
        <rFont val="Arial"/>
        <family val="2"/>
      </rPr>
      <t>الإدامة</t>
    </r>
    <r>
      <rPr>
        <b/>
        <sz val="12"/>
        <color rgb="FF000000"/>
        <rFont val="Arial"/>
        <family val="2"/>
      </rPr>
      <t xml:space="preserve">. </t>
    </r>
    <r>
      <rPr>
        <sz val="12"/>
        <color rgb="FF000000"/>
        <rFont val="Arial"/>
        <family val="2"/>
      </rPr>
      <t>تقدم من قبل ضابط الإمداد.</t>
    </r>
  </si>
  <si>
    <r>
      <t>11.</t>
    </r>
    <r>
      <rPr>
        <sz val="12"/>
        <color rgb="FF000000"/>
        <rFont val="Times New Roman"/>
        <family val="1"/>
      </rPr>
      <t xml:space="preserve">  </t>
    </r>
    <r>
      <rPr>
        <b/>
        <u/>
        <sz val="12"/>
        <color rgb="FF000000"/>
        <rFont val="Arial"/>
        <family val="2"/>
      </rPr>
      <t>القيـــادة والسيطرة والاتصـــالات</t>
    </r>
    <r>
      <rPr>
        <b/>
        <sz val="12"/>
        <color rgb="FF000000"/>
        <rFont val="Arial"/>
        <family val="2"/>
      </rPr>
      <t xml:space="preserve">. </t>
    </r>
    <r>
      <rPr>
        <sz val="12"/>
        <color rgb="FF000000"/>
        <rFont val="Arial"/>
        <family val="2"/>
      </rPr>
      <t>تقدم من قبل ضابط القيادة والاتصالات.</t>
    </r>
  </si>
  <si>
    <r>
      <t>12.</t>
    </r>
    <r>
      <rPr>
        <sz val="12"/>
        <color rgb="FF000000"/>
        <rFont val="Times New Roman"/>
        <family val="1"/>
      </rPr>
      <t xml:space="preserve">  </t>
    </r>
    <r>
      <rPr>
        <sz val="12"/>
        <color rgb="FF000000"/>
        <rFont val="Arial"/>
        <family val="2"/>
      </rPr>
      <t>يقدم قائد الكتيبة ملخصاً ويجيب على الأسئلة وضبط الوقت.</t>
    </r>
  </si>
  <si>
    <r>
      <t xml:space="preserve">ب.  </t>
    </r>
    <r>
      <rPr>
        <u/>
        <sz val="12"/>
        <color rgb="FF000000"/>
        <rFont val="Arial"/>
        <family val="2"/>
      </rPr>
      <t>مفهوم العمليات</t>
    </r>
    <r>
      <rPr>
        <sz val="12"/>
        <color rgb="FF000000"/>
        <rFont val="Arial"/>
        <family val="2"/>
      </rPr>
      <t>. يقدم من قبل ضابط العمليات ويشمل ما يلي:</t>
    </r>
  </si>
  <si>
    <r>
      <t xml:space="preserve">(2)  </t>
    </r>
    <r>
      <rPr>
        <u/>
        <sz val="12"/>
        <color rgb="FF000000"/>
        <rFont val="Arial"/>
        <family val="2"/>
      </rPr>
      <t>المناورة.</t>
    </r>
    <r>
      <rPr>
        <sz val="12"/>
        <color rgb="FF000000"/>
        <rFont val="Arial"/>
        <family val="2"/>
      </rPr>
      <t xml:space="preserve"> يتم ذكر الواجبات الرئيسية لجميع الوحدات مع ذكر الغرض من هذا الواجب .</t>
    </r>
  </si>
  <si>
    <t>تقييم أمر عمليات قائد الكتيبة/مجموعة القتال - العمليات التعرضية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</si>
</sst>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1" x14ac:knownFonts="1">
    <font>
      <sz val="11"/>
      <color theme="1"/>
      <name val="Arial"/>
      <family val="2"/>
      <scheme val="minor"/>
    </font>
    <font>
      <b/>
      <u/>
      <sz val="12"/>
      <color rgb="FF000000"/>
      <name val="Arial"/>
      <family val="2"/>
    </font>
    <font>
      <b/>
      <sz val="12"/>
      <color rgb="FF000000"/>
      <name val="Arial"/>
      <family val="2"/>
    </font>
    <font>
      <b/>
      <sz val="12"/>
      <color theme="1"/>
      <name val="Arial"/>
      <family val="2"/>
    </font>
    <font>
      <b/>
      <u/>
      <sz val="14"/>
      <color rgb="FF000000"/>
      <name val="Arial"/>
      <family val="2"/>
    </font>
    <font>
      <b/>
      <sz val="14"/>
      <color rgb="FF000000"/>
      <name val="Arial"/>
      <family val="2"/>
    </font>
    <font>
      <b/>
      <sz val="14"/>
      <color theme="1"/>
      <name val="Arial"/>
      <family val="2"/>
    </font>
    <font>
      <sz val="12"/>
      <color rgb="FF000000"/>
      <name val="Arial"/>
      <family val="2"/>
    </font>
    <font>
      <u/>
      <sz val="12"/>
      <color rgb="FF000000"/>
      <name val="Arial"/>
      <family val="2"/>
    </font>
    <font>
      <sz val="12"/>
      <color rgb="FF000000"/>
      <name val="Times New Roman"/>
      <family val="1"/>
    </font>
    <font>
      <sz val="12"/>
      <color theme="1"/>
      <name val="Arial"/>
      <family val="2"/>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34">
    <border>
      <left/>
      <right/>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medium">
        <color indexed="64"/>
      </right>
      <top/>
      <bottom/>
      <diagonal/>
    </border>
    <border>
      <left style="thin">
        <color indexed="64"/>
      </left>
      <right/>
      <top/>
      <bottom style="thin">
        <color indexed="64"/>
      </bottom>
      <diagonal/>
    </border>
    <border>
      <left/>
      <right style="medium">
        <color indexed="64"/>
      </right>
      <top/>
      <bottom style="thin">
        <color indexed="64"/>
      </bottom>
      <diagonal/>
    </border>
  </borders>
  <cellStyleXfs count="1">
    <xf numFmtId="0" fontId="0" fillId="0" borderId="0"/>
  </cellStyleXfs>
  <cellXfs count="101">
    <xf numFmtId="0" fontId="0" fillId="0" borderId="0" xfId="0"/>
    <xf numFmtId="0" fontId="0" fillId="0" borderId="0" xfId="0" applyProtection="1">
      <protection locked="0"/>
    </xf>
    <xf numFmtId="0" fontId="0" fillId="0" borderId="0" xfId="0" applyAlignment="1" applyProtection="1">
      <alignment horizontal="center"/>
      <protection locked="0"/>
    </xf>
    <xf numFmtId="0" fontId="2" fillId="2" borderId="0" xfId="0" applyFont="1" applyFill="1" applyAlignment="1" applyProtection="1">
      <alignment vertical="center" wrapText="1" readingOrder="2"/>
      <protection locked="0"/>
    </xf>
    <xf numFmtId="0" fontId="1" fillId="0" borderId="0" xfId="0" applyFont="1" applyAlignment="1" applyProtection="1">
      <alignment vertical="top" wrapText="1" readingOrder="2"/>
      <protection locked="0"/>
    </xf>
    <xf numFmtId="0" fontId="5" fillId="0" borderId="0" xfId="0" applyFont="1" applyAlignment="1" applyProtection="1">
      <alignment vertical="center" wrapText="1" readingOrder="2"/>
      <protection locked="0"/>
    </xf>
    <xf numFmtId="0" fontId="5" fillId="0" borderId="0" xfId="0" applyFont="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2" xfId="0" applyFont="1" applyBorder="1" applyAlignment="1">
      <alignment horizontal="center" vertical="center" wrapText="1" readingOrder="2"/>
    </xf>
    <xf numFmtId="0" fontId="2" fillId="0" borderId="8" xfId="0" applyFont="1" applyBorder="1" applyAlignment="1">
      <alignment horizontal="center" vertical="center" wrapText="1" readingOrder="2"/>
    </xf>
    <xf numFmtId="0" fontId="3" fillId="2" borderId="0" xfId="0" applyFont="1" applyFill="1" applyAlignment="1" applyProtection="1">
      <alignment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2" xfId="0" applyFont="1" applyFill="1" applyBorder="1" applyAlignment="1" applyProtection="1">
      <alignment vertical="center" wrapText="1" readingOrder="2"/>
      <protection locked="0"/>
    </xf>
    <xf numFmtId="0" fontId="3" fillId="0" borderId="2" xfId="0" applyFont="1" applyBorder="1" applyAlignment="1" applyProtection="1">
      <alignment horizontal="center" vertical="center" wrapText="1" readingOrder="2"/>
      <protection locked="0"/>
    </xf>
    <xf numFmtId="0" fontId="3" fillId="0" borderId="11" xfId="0" applyFont="1" applyBorder="1" applyAlignment="1" applyProtection="1">
      <alignment horizontal="center" vertical="center" wrapText="1" readingOrder="2"/>
      <protection locked="0"/>
    </xf>
    <xf numFmtId="0" fontId="2" fillId="0" borderId="8" xfId="0" applyFont="1" applyBorder="1" applyAlignment="1">
      <alignment horizontal="center" vertical="center" wrapText="1" readingOrder="1"/>
    </xf>
    <xf numFmtId="0" fontId="2" fillId="0" borderId="11" xfId="0" applyFont="1" applyBorder="1" applyAlignment="1">
      <alignment horizontal="center" vertical="center" wrapText="1" readingOrder="2"/>
    </xf>
    <xf numFmtId="0" fontId="2" fillId="0" borderId="2" xfId="0" applyFont="1" applyBorder="1" applyAlignment="1">
      <alignment horizontal="center" vertical="center" wrapText="1"/>
    </xf>
    <xf numFmtId="0" fontId="5" fillId="3" borderId="20" xfId="0" applyFont="1" applyFill="1" applyBorder="1" applyAlignment="1" applyProtection="1">
      <alignment horizontal="center" vertical="center" wrapText="1" readingOrder="2"/>
      <protection locked="0"/>
    </xf>
    <xf numFmtId="9" fontId="3" fillId="0" borderId="2" xfId="0" applyNumberFormat="1" applyFont="1" applyBorder="1" applyAlignment="1">
      <alignment horizontal="center" vertical="center" wrapText="1" readingOrder="2"/>
    </xf>
    <xf numFmtId="0" fontId="2" fillId="0" borderId="2" xfId="0" applyFont="1" applyBorder="1" applyAlignment="1">
      <alignment horizontal="center" vertical="center" wrapText="1" readingOrder="1"/>
    </xf>
    <xf numFmtId="9" fontId="3" fillId="0" borderId="11" xfId="0" applyNumberFormat="1" applyFont="1" applyBorder="1" applyAlignment="1">
      <alignment horizontal="center" vertical="center" wrapText="1" readingOrder="2"/>
    </xf>
    <xf numFmtId="0" fontId="2" fillId="0" borderId="11" xfId="0" applyFont="1" applyBorder="1" applyAlignment="1">
      <alignment horizontal="center" vertical="center" wrapText="1" readingOrder="1"/>
    </xf>
    <xf numFmtId="0" fontId="7" fillId="0" borderId="2" xfId="0" applyFont="1" applyBorder="1" applyAlignment="1">
      <alignment vertical="center" wrapText="1" readingOrder="2"/>
    </xf>
    <xf numFmtId="0" fontId="3" fillId="0" borderId="8" xfId="0" applyFont="1" applyBorder="1" applyAlignment="1" applyProtection="1">
      <alignment horizontal="center" vertical="center" wrapText="1" readingOrder="2"/>
      <protection locked="0"/>
    </xf>
    <xf numFmtId="9" fontId="3" fillId="0" borderId="8" xfId="0" applyNumberFormat="1" applyFont="1" applyBorder="1" applyAlignment="1">
      <alignment horizontal="center" vertical="center" wrapText="1" readingOrder="2"/>
    </xf>
    <xf numFmtId="0" fontId="3" fillId="0" borderId="8" xfId="0" applyFont="1" applyBorder="1" applyAlignment="1">
      <alignment horizontal="center" vertical="center" wrapText="1" readingOrder="2"/>
    </xf>
    <xf numFmtId="0" fontId="3" fillId="0" borderId="2" xfId="0" applyFont="1" applyBorder="1" applyAlignment="1" applyProtection="1">
      <alignment horizontal="center" vertical="center" wrapText="1" readingOrder="2"/>
      <protection locked="0"/>
    </xf>
    <xf numFmtId="0" fontId="3" fillId="0" borderId="6" xfId="0" applyFont="1" applyBorder="1" applyAlignment="1" applyProtection="1">
      <alignment horizontal="center" vertical="center" wrapText="1" readingOrder="2"/>
      <protection locked="0"/>
    </xf>
    <xf numFmtId="0" fontId="5" fillId="0" borderId="0" xfId="0" applyFont="1" applyAlignment="1" applyProtection="1">
      <alignment horizontal="left" vertical="top" wrapText="1" readingOrder="2"/>
      <protection locked="0"/>
    </xf>
    <xf numFmtId="0" fontId="2" fillId="0" borderId="13" xfId="0" applyFont="1" applyBorder="1" applyAlignment="1">
      <alignment horizontal="center" vertical="center" wrapText="1" readingOrder="2"/>
    </xf>
    <xf numFmtId="0" fontId="2" fillId="0" borderId="14"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3" fillId="0" borderId="8" xfId="0" applyFont="1" applyBorder="1" applyAlignment="1" applyProtection="1">
      <alignment horizontal="center" vertical="center" wrapText="1" readingOrder="2"/>
      <protection locked="0"/>
    </xf>
    <xf numFmtId="0" fontId="3" fillId="0" borderId="9" xfId="0" applyFont="1" applyBorder="1" applyAlignment="1" applyProtection="1">
      <alignment horizontal="center" vertical="center" wrapText="1" readingOrder="2"/>
      <protection locked="0"/>
    </xf>
    <xf numFmtId="0" fontId="3" fillId="0" borderId="11"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5" fillId="0" borderId="1" xfId="0" applyFont="1" applyBorder="1" applyAlignment="1" applyProtection="1">
      <alignment horizontal="left" vertical="center" wrapText="1" readingOrder="2"/>
      <protection locked="0"/>
    </xf>
    <xf numFmtId="0" fontId="10" fillId="0" borderId="26" xfId="0" applyFont="1" applyBorder="1" applyAlignment="1" applyProtection="1">
      <alignment horizontal="center" vertical="center" wrapText="1" readingOrder="2"/>
      <protection locked="0"/>
    </xf>
    <xf numFmtId="0" fontId="10" fillId="0" borderId="27" xfId="0" applyFont="1" applyBorder="1" applyAlignment="1" applyProtection="1">
      <alignment horizontal="center" vertical="center" wrapText="1" readingOrder="2"/>
      <protection locked="0"/>
    </xf>
    <xf numFmtId="0" fontId="10" fillId="0" borderId="30" xfId="0" applyFont="1" applyBorder="1" applyAlignment="1" applyProtection="1">
      <alignment horizontal="center" vertical="center" wrapText="1" readingOrder="2"/>
      <protection locked="0"/>
    </xf>
    <xf numFmtId="0" fontId="10" fillId="0" borderId="31" xfId="0" applyFont="1" applyBorder="1" applyAlignment="1" applyProtection="1">
      <alignment horizontal="center" vertical="center" wrapText="1" readingOrder="2"/>
      <protection locked="0"/>
    </xf>
    <xf numFmtId="0" fontId="10" fillId="0" borderId="32" xfId="0" applyFont="1" applyBorder="1" applyAlignment="1" applyProtection="1">
      <alignment horizontal="center" vertical="center" wrapText="1" readingOrder="2"/>
      <protection locked="0"/>
    </xf>
    <xf numFmtId="0" fontId="10" fillId="0" borderId="33" xfId="0" applyFont="1" applyBorder="1" applyAlignment="1" applyProtection="1">
      <alignment horizontal="center" vertical="center" wrapText="1" readingOrder="2"/>
      <protection locked="0"/>
    </xf>
    <xf numFmtId="164" fontId="5" fillId="0" borderId="2" xfId="0" applyNumberFormat="1" applyFont="1" applyBorder="1" applyAlignment="1" applyProtection="1">
      <alignment horizontal="right" vertical="center" wrapText="1" readingOrder="2"/>
      <protection locked="0"/>
    </xf>
    <xf numFmtId="0" fontId="6" fillId="3" borderId="4" xfId="0" applyFont="1" applyFill="1" applyBorder="1" applyAlignment="1" applyProtection="1">
      <alignment horizontal="center" vertical="center" wrapText="1" readingOrder="2"/>
      <protection locked="0"/>
    </xf>
    <xf numFmtId="0" fontId="6" fillId="3" borderId="3" xfId="0" applyFont="1" applyFill="1" applyBorder="1" applyAlignment="1" applyProtection="1">
      <alignment horizontal="center" vertical="center" wrapText="1" readingOrder="2"/>
      <protection locked="0"/>
    </xf>
    <xf numFmtId="0" fontId="6" fillId="3" borderId="10" xfId="0" applyFont="1" applyFill="1" applyBorder="1" applyAlignment="1" applyProtection="1">
      <alignment horizontal="center" vertical="center" wrapText="1" readingOrder="2"/>
      <protection locked="0"/>
    </xf>
    <xf numFmtId="0" fontId="6" fillId="3" borderId="11" xfId="0" applyFont="1" applyFill="1" applyBorder="1" applyAlignment="1" applyProtection="1">
      <alignment horizontal="center" vertical="center" wrapText="1" readingOrder="2"/>
      <protection locked="0"/>
    </xf>
    <xf numFmtId="0" fontId="5" fillId="0" borderId="2" xfId="0" applyFont="1" applyBorder="1" applyAlignment="1" applyProtection="1">
      <alignment horizontal="right" vertical="center" wrapText="1" readingOrder="2"/>
      <protection locked="0"/>
    </xf>
    <xf numFmtId="0" fontId="5" fillId="3" borderId="3" xfId="0" applyFont="1" applyFill="1" applyBorder="1" applyAlignment="1" applyProtection="1">
      <alignment horizontal="center" vertical="center" wrapText="1" readingOrder="2"/>
      <protection locked="0"/>
    </xf>
    <xf numFmtId="0" fontId="5" fillId="3" borderId="5" xfId="0" applyFont="1" applyFill="1" applyBorder="1" applyAlignment="1" applyProtection="1">
      <alignment horizontal="center" vertical="center" wrapText="1" readingOrder="2"/>
      <protection locked="0"/>
    </xf>
    <xf numFmtId="0" fontId="5" fillId="3" borderId="11" xfId="0" applyFont="1" applyFill="1" applyBorder="1" applyAlignment="1" applyProtection="1">
      <alignment horizontal="center" vertical="center" wrapText="1" readingOrder="2"/>
      <protection locked="0"/>
    </xf>
    <xf numFmtId="0" fontId="5" fillId="3" borderId="12" xfId="0" applyFont="1" applyFill="1" applyBorder="1" applyAlignment="1" applyProtection="1">
      <alignment horizontal="center" vertical="center" wrapText="1" readingOrder="2"/>
      <protection locked="0"/>
    </xf>
    <xf numFmtId="0" fontId="7" fillId="0" borderId="7" xfId="0" applyFont="1" applyBorder="1" applyAlignment="1">
      <alignment horizontal="right" vertical="center" wrapText="1" readingOrder="2"/>
    </xf>
    <xf numFmtId="0" fontId="7" fillId="0" borderId="8" xfId="0" applyFont="1" applyBorder="1" applyAlignment="1">
      <alignment horizontal="right" vertical="center" wrapText="1" readingOrder="2"/>
    </xf>
    <xf numFmtId="0" fontId="7" fillId="0" borderId="16" xfId="0" applyFont="1" applyBorder="1" applyAlignment="1">
      <alignment horizontal="right" vertical="center" wrapText="1" indent="2" readingOrder="2"/>
    </xf>
    <xf numFmtId="0" fontId="7" fillId="0" borderId="2" xfId="0" applyFont="1" applyBorder="1" applyAlignment="1">
      <alignment horizontal="right" vertical="center" wrapText="1" indent="2" readingOrder="2"/>
    </xf>
    <xf numFmtId="0" fontId="7" fillId="0" borderId="10" xfId="0" applyFont="1" applyBorder="1" applyAlignment="1">
      <alignment horizontal="right" vertical="center" wrapText="1" indent="2" readingOrder="2"/>
    </xf>
    <xf numFmtId="0" fontId="7" fillId="0" borderId="11" xfId="0" applyFont="1" applyBorder="1" applyAlignment="1">
      <alignment horizontal="right" vertical="center" wrapText="1" indent="2" readingOrder="2"/>
    </xf>
    <xf numFmtId="10" fontId="2" fillId="0" borderId="8" xfId="0" applyNumberFormat="1" applyFont="1" applyBorder="1" applyAlignment="1">
      <alignment horizontal="center" vertical="center" wrapText="1" readingOrder="2"/>
    </xf>
    <xf numFmtId="10" fontId="2" fillId="0" borderId="9" xfId="0" applyNumberFormat="1" applyFont="1" applyBorder="1" applyAlignment="1">
      <alignment horizontal="center" vertical="center" wrapText="1" readingOrder="2"/>
    </xf>
    <xf numFmtId="0" fontId="6" fillId="3" borderId="19" xfId="0" applyFont="1" applyFill="1" applyBorder="1" applyAlignment="1" applyProtection="1">
      <alignment horizontal="center" vertical="center" wrapText="1" readingOrder="2"/>
      <protection locked="0"/>
    </xf>
    <xf numFmtId="0" fontId="6" fillId="3" borderId="20" xfId="0" applyFont="1" applyFill="1" applyBorder="1" applyAlignment="1" applyProtection="1">
      <alignment horizontal="center" vertical="center" wrapText="1" readingOrder="2"/>
      <protection locked="0"/>
    </xf>
    <xf numFmtId="0" fontId="5" fillId="3" borderId="20" xfId="0" applyFont="1" applyFill="1" applyBorder="1" applyAlignment="1" applyProtection="1">
      <alignment horizontal="center" vertical="center" wrapText="1" readingOrder="2"/>
      <protection locked="0"/>
    </xf>
    <xf numFmtId="0" fontId="5" fillId="3" borderId="21" xfId="0" applyFont="1" applyFill="1" applyBorder="1" applyAlignment="1" applyProtection="1">
      <alignment horizontal="center" vertical="center" wrapText="1" readingOrder="2"/>
      <protection locked="0"/>
    </xf>
    <xf numFmtId="0" fontId="5" fillId="3" borderId="7" xfId="0" applyFont="1" applyFill="1" applyBorder="1" applyAlignment="1" applyProtection="1">
      <alignment horizontal="center" vertical="center" wrapText="1" readingOrder="2"/>
      <protection locked="0"/>
    </xf>
    <xf numFmtId="0" fontId="5" fillId="3" borderId="8" xfId="0" applyFont="1" applyFill="1" applyBorder="1" applyAlignment="1" applyProtection="1">
      <alignment horizontal="center" vertical="center" wrapText="1" readingOrder="2"/>
      <protection locked="0"/>
    </xf>
    <xf numFmtId="0" fontId="1" fillId="0" borderId="1" xfId="0" applyFont="1" applyBorder="1" applyAlignment="1" applyProtection="1">
      <alignment vertical="top" wrapText="1" readingOrder="2"/>
      <protection locked="0"/>
    </xf>
    <xf numFmtId="0" fontId="1" fillId="0" borderId="0" xfId="0" applyFont="1" applyAlignment="1" applyProtection="1">
      <alignment vertical="top" wrapText="1" readingOrder="2"/>
      <protection locked="0"/>
    </xf>
    <xf numFmtId="0" fontId="5" fillId="0" borderId="0" xfId="0" applyFont="1" applyAlignment="1" applyProtection="1">
      <alignment horizontal="right" vertical="center" wrapText="1" readingOrder="2"/>
      <protection locked="0"/>
    </xf>
    <xf numFmtId="0" fontId="5" fillId="0" borderId="0" xfId="0" applyFont="1" applyAlignment="1" applyProtection="1">
      <alignment horizontal="center" vertical="center" wrapText="1" readingOrder="2"/>
      <protection locked="0"/>
    </xf>
    <xf numFmtId="0" fontId="2" fillId="0" borderId="8" xfId="0" applyFont="1" applyBorder="1" applyAlignment="1">
      <alignment horizontal="center" vertical="center" wrapText="1" readingOrder="1"/>
    </xf>
    <xf numFmtId="0" fontId="2" fillId="0" borderId="9" xfId="0" applyFont="1" applyBorder="1" applyAlignment="1">
      <alignment horizontal="center" vertical="center" wrapText="1" readingOrder="1"/>
    </xf>
    <xf numFmtId="0" fontId="7" fillId="0" borderId="16" xfId="0" applyFont="1" applyBorder="1" applyAlignment="1">
      <alignment horizontal="right" vertical="center" wrapText="1" indent="4" readingOrder="2"/>
    </xf>
    <xf numFmtId="0" fontId="7" fillId="0" borderId="2" xfId="0" applyFont="1" applyBorder="1" applyAlignment="1">
      <alignment horizontal="right" vertical="center" wrapText="1" indent="4" readingOrder="2"/>
    </xf>
    <xf numFmtId="0" fontId="10" fillId="0" borderId="28" xfId="0" applyFont="1" applyBorder="1" applyAlignment="1" applyProtection="1">
      <alignment horizontal="center" vertical="center" wrapText="1" readingOrder="2"/>
      <protection locked="0"/>
    </xf>
    <xf numFmtId="0" fontId="10" fillId="0" borderId="29" xfId="0" applyFont="1" applyBorder="1" applyAlignment="1" applyProtection="1">
      <alignment horizontal="center" vertical="center" wrapText="1" readingOrder="2"/>
      <protection locked="0"/>
    </xf>
    <xf numFmtId="0" fontId="7" fillId="0" borderId="16" xfId="0" applyFont="1" applyBorder="1" applyAlignment="1">
      <alignment horizontal="right" vertical="center" wrapText="1" indent="6" readingOrder="2"/>
    </xf>
    <xf numFmtId="0" fontId="7" fillId="0" borderId="2" xfId="0" applyFont="1" applyBorder="1" applyAlignment="1">
      <alignment horizontal="right" vertical="center" wrapText="1" indent="6" readingOrder="2"/>
    </xf>
    <xf numFmtId="0" fontId="7" fillId="0" borderId="17" xfId="0" applyFont="1" applyBorder="1" applyAlignment="1">
      <alignment horizontal="right" vertical="center" wrapText="1" indent="4" readingOrder="2"/>
    </xf>
    <xf numFmtId="0" fontId="7" fillId="0" borderId="18" xfId="0" applyFont="1" applyBorder="1" applyAlignment="1">
      <alignment horizontal="right" vertical="center" wrapText="1" indent="4" readingOrder="2"/>
    </xf>
    <xf numFmtId="0" fontId="7" fillId="0" borderId="22" xfId="0" applyFont="1" applyBorder="1" applyAlignment="1">
      <alignment horizontal="right" vertical="center" wrapText="1" indent="4" readingOrder="2"/>
    </xf>
    <xf numFmtId="0" fontId="7" fillId="0" borderId="16" xfId="0" applyFont="1" applyBorder="1" applyAlignment="1">
      <alignment horizontal="right" vertical="center" wrapText="1" indent="3" readingOrder="2"/>
    </xf>
    <xf numFmtId="0" fontId="7" fillId="0" borderId="2" xfId="0" applyFont="1" applyBorder="1" applyAlignment="1">
      <alignment horizontal="right" vertical="center" wrapText="1" indent="3" readingOrder="2"/>
    </xf>
    <xf numFmtId="0" fontId="10" fillId="0" borderId="16" xfId="0" applyFont="1" applyBorder="1" applyAlignment="1">
      <alignment horizontal="right" vertical="center" wrapText="1" indent="4" readingOrder="2"/>
    </xf>
    <xf numFmtId="0" fontId="10" fillId="0" borderId="2" xfId="0" applyFont="1" applyBorder="1" applyAlignment="1">
      <alignment horizontal="right" vertical="center" wrapText="1" indent="4" readingOrder="2"/>
    </xf>
    <xf numFmtId="0" fontId="10" fillId="0" borderId="10" xfId="0" applyFont="1" applyBorder="1" applyAlignment="1">
      <alignment horizontal="right" vertical="center" wrapText="1" indent="4" readingOrder="2"/>
    </xf>
    <xf numFmtId="0" fontId="10" fillId="0" borderId="11" xfId="0" applyFont="1" applyBorder="1" applyAlignment="1">
      <alignment horizontal="right" vertical="center" wrapText="1" indent="4" readingOrder="2"/>
    </xf>
    <xf numFmtId="0" fontId="7" fillId="0" borderId="17" xfId="0" applyFont="1" applyBorder="1" applyAlignment="1">
      <alignment horizontal="right" vertical="center" wrapText="1" indent="2" readingOrder="2"/>
    </xf>
    <xf numFmtId="0" fontId="7" fillId="0" borderId="18" xfId="0" applyFont="1" applyBorder="1" applyAlignment="1">
      <alignment horizontal="right" vertical="center" wrapText="1" indent="2" readingOrder="2"/>
    </xf>
    <xf numFmtId="0" fontId="7" fillId="0" borderId="22" xfId="0" applyFont="1" applyBorder="1" applyAlignment="1">
      <alignment horizontal="right" vertical="center" wrapText="1" indent="2" readingOrder="2"/>
    </xf>
    <xf numFmtId="0" fontId="7" fillId="0" borderId="23" xfId="0" applyFont="1" applyBorder="1" applyAlignment="1">
      <alignment horizontal="right" vertical="center" wrapText="1" readingOrder="2"/>
    </xf>
    <xf numFmtId="0" fontId="7" fillId="0" borderId="24" xfId="0" applyFont="1" applyBorder="1" applyAlignment="1">
      <alignment horizontal="right" vertical="center" wrapText="1" readingOrder="2"/>
    </xf>
    <xf numFmtId="0" fontId="7" fillId="0" borderId="25" xfId="0" applyFont="1" applyBorder="1" applyAlignment="1">
      <alignment horizontal="right" vertical="center" wrapText="1" readingOrder="2"/>
    </xf>
    <xf numFmtId="0" fontId="7" fillId="0" borderId="10" xfId="0" applyFont="1" applyBorder="1" applyAlignment="1">
      <alignment horizontal="right" vertical="center" wrapText="1" indent="4" readingOrder="2"/>
    </xf>
    <xf numFmtId="0" fontId="7" fillId="0" borderId="11" xfId="0" applyFont="1" applyBorder="1" applyAlignment="1">
      <alignment horizontal="right" vertical="center" wrapText="1" indent="4" readingOrder="2"/>
    </xf>
    <xf numFmtId="0" fontId="7" fillId="0" borderId="17" xfId="0" applyFont="1" applyBorder="1" applyAlignment="1">
      <alignment horizontal="right" vertical="center" wrapText="1" indent="6" readingOrder="2"/>
    </xf>
    <xf numFmtId="0" fontId="7" fillId="0" borderId="18" xfId="0" applyFont="1" applyBorder="1" applyAlignment="1">
      <alignment horizontal="right" vertical="center" wrapText="1" indent="6" readingOrder="2"/>
    </xf>
    <xf numFmtId="0" fontId="7" fillId="0" borderId="22" xfId="0" applyFont="1" applyBorder="1" applyAlignment="1">
      <alignment horizontal="right" vertical="center" wrapText="1" indent="6" readingOrder="2"/>
    </xf>
    <xf numFmtId="49" fontId="4" fillId="0" borderId="0" xfId="0" applyNumberFormat="1" applyFont="1" applyAlignment="1" applyProtection="1">
      <alignment horizontal="center" vertical="center" wrapText="1" readingOrder="2"/>
      <protection locked="0"/>
    </xf>
  </cellXfs>
  <cellStyles count="1">
    <cellStyle name="Normal" xfId="0" builtinId="0"/>
  </cellStyles>
  <dxfs count="24">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0"/>
      </font>
      <fill>
        <patternFill>
          <bgColor rgb="FF339933"/>
        </patternFill>
      </fill>
    </dxf>
    <dxf>
      <font>
        <b/>
        <i val="0"/>
        <color theme="1"/>
      </font>
      <fill>
        <patternFill>
          <bgColor rgb="FFFFFF00"/>
        </patternFill>
      </fill>
    </dxf>
    <dxf>
      <font>
        <b/>
        <i val="0"/>
        <color theme="1"/>
      </font>
      <fill>
        <patternFill>
          <bgColor rgb="FFFF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114"/>
  <sheetViews>
    <sheetView rightToLeft="1" tabSelected="1" view="pageBreakPreview" zoomScale="130" zoomScaleNormal="100" zoomScaleSheetLayoutView="130" workbookViewId="0">
      <selection activeCell="B1" sqref="B1:J1"/>
    </sheetView>
  </sheetViews>
  <sheetFormatPr defaultColWidth="9" defaultRowHeight="14.25" x14ac:dyDescent="0.2"/>
  <cols>
    <col min="1" max="1" width="5.125" style="1" customWidth="1"/>
    <col min="2" max="2" width="12.125" style="1" customWidth="1"/>
    <col min="3" max="3" width="9" style="1"/>
    <col min="4" max="4" width="28.125" style="1" customWidth="1"/>
    <col min="5" max="7" width="9.25" style="1" customWidth="1"/>
    <col min="8" max="8" width="9.25" style="2" customWidth="1"/>
    <col min="9" max="9" width="9.25" style="1" customWidth="1"/>
    <col min="10" max="10" width="15.5" style="1" customWidth="1"/>
    <col min="11" max="16384" width="9" style="1"/>
  </cols>
  <sheetData>
    <row r="1" spans="1:10" ht="45" customHeight="1" x14ac:dyDescent="0.2">
      <c r="B1" s="100" t="s">
        <v>132</v>
      </c>
      <c r="C1" s="100"/>
      <c r="D1" s="100"/>
      <c r="E1" s="100"/>
      <c r="F1" s="100"/>
      <c r="G1" s="100"/>
      <c r="H1" s="100"/>
      <c r="I1" s="100"/>
      <c r="J1" s="100"/>
    </row>
    <row r="2" spans="1:10" ht="30" customHeight="1" x14ac:dyDescent="0.2">
      <c r="B2" s="12" t="s">
        <v>8</v>
      </c>
      <c r="C2" s="49" t="s">
        <v>23</v>
      </c>
      <c r="D2" s="49"/>
      <c r="E2" s="12" t="s">
        <v>7</v>
      </c>
      <c r="F2" s="44" t="s">
        <v>22</v>
      </c>
      <c r="G2" s="44"/>
      <c r="H2" s="44"/>
      <c r="I2" s="44"/>
      <c r="J2" s="44"/>
    </row>
    <row r="3" spans="1:10" ht="30" customHeight="1" x14ac:dyDescent="0.2">
      <c r="B3" s="12" t="s">
        <v>9</v>
      </c>
      <c r="C3" s="49" t="s">
        <v>25</v>
      </c>
      <c r="D3" s="49"/>
      <c r="E3" s="12" t="s">
        <v>6</v>
      </c>
      <c r="F3" s="49" t="s">
        <v>24</v>
      </c>
      <c r="G3" s="49"/>
      <c r="H3" s="49"/>
      <c r="I3" s="49"/>
      <c r="J3" s="49"/>
    </row>
    <row r="4" spans="1:10" ht="30" customHeight="1" thickBot="1" x14ac:dyDescent="0.25">
      <c r="B4" s="5"/>
      <c r="C4" s="6"/>
      <c r="D4" s="6"/>
      <c r="E4" s="5"/>
      <c r="F4" s="6"/>
      <c r="G4" s="6"/>
      <c r="H4" s="7"/>
      <c r="I4" s="6"/>
      <c r="J4" s="6"/>
    </row>
    <row r="5" spans="1:10" ht="24.95" customHeight="1" x14ac:dyDescent="0.2">
      <c r="A5" s="10"/>
      <c r="B5" s="45" t="s">
        <v>0</v>
      </c>
      <c r="C5" s="46"/>
      <c r="D5" s="46"/>
      <c r="E5" s="50" t="s">
        <v>1</v>
      </c>
      <c r="F5" s="50"/>
      <c r="G5" s="50"/>
      <c r="H5" s="50"/>
      <c r="I5" s="50" t="s">
        <v>2</v>
      </c>
      <c r="J5" s="51"/>
    </row>
    <row r="6" spans="1:10" ht="24.95" customHeight="1" thickBot="1" x14ac:dyDescent="0.25">
      <c r="A6" s="10"/>
      <c r="B6" s="47"/>
      <c r="C6" s="48"/>
      <c r="D6" s="48"/>
      <c r="E6" s="11" t="s">
        <v>3</v>
      </c>
      <c r="F6" s="11" t="s">
        <v>4</v>
      </c>
      <c r="G6" s="11" t="s">
        <v>15</v>
      </c>
      <c r="H6" s="11" t="s">
        <v>16</v>
      </c>
      <c r="I6" s="52"/>
      <c r="J6" s="53"/>
    </row>
    <row r="7" spans="1:10" ht="24.95" customHeight="1" thickBot="1" x14ac:dyDescent="0.25">
      <c r="A7" s="10"/>
      <c r="B7" s="62" t="s">
        <v>13</v>
      </c>
      <c r="C7" s="63"/>
      <c r="D7" s="63"/>
      <c r="E7" s="18" t="s">
        <v>10</v>
      </c>
      <c r="F7" s="18" t="s">
        <v>11</v>
      </c>
      <c r="G7" s="18" t="s">
        <v>14</v>
      </c>
      <c r="H7" s="18" t="s">
        <v>12</v>
      </c>
      <c r="I7" s="64" t="s">
        <v>17</v>
      </c>
      <c r="J7" s="65"/>
    </row>
    <row r="8" spans="1:10" ht="30" customHeight="1" thickBot="1" x14ac:dyDescent="0.25">
      <c r="A8" s="10"/>
      <c r="B8" s="54" t="s">
        <v>27</v>
      </c>
      <c r="C8" s="55"/>
      <c r="D8" s="55"/>
      <c r="E8" s="26">
        <v>5</v>
      </c>
      <c r="F8" s="24" t="s">
        <v>26</v>
      </c>
      <c r="G8" s="25" t="str">
        <f>IFERROR(F8/E8,"")</f>
        <v/>
      </c>
      <c r="H8" s="15" t="str">
        <f>_xlfn.IFS(F8="أدخل العلامة","",F8="لا ينطبق","تم الإلغاء",G8&gt;=90%,"ممتاز",G8&gt;=80%,"جيد جداً",G8&gt;=70%,"جيد",G8&gt;=60%,"مقبول",G8&lt;60%,"راسب")</f>
        <v/>
      </c>
      <c r="I8" s="33"/>
      <c r="J8" s="34"/>
    </row>
    <row r="9" spans="1:10" ht="30" customHeight="1" thickBot="1" x14ac:dyDescent="0.25">
      <c r="A9" s="10"/>
      <c r="B9" s="54" t="s">
        <v>110</v>
      </c>
      <c r="C9" s="55"/>
      <c r="D9" s="55"/>
      <c r="E9" s="26">
        <v>5</v>
      </c>
      <c r="F9" s="24" t="s">
        <v>26</v>
      </c>
      <c r="G9" s="25" t="str">
        <f>IFERROR(F9/E9,"")</f>
        <v/>
      </c>
      <c r="H9" s="15" t="str">
        <f>_xlfn.IFS(F9="أدخل العلامة","",F9="لا ينطبق","تم الإلغاء",G9&gt;=90%,"ممتاز",G9&gt;=80%,"جيد جداً",G9&gt;=70%,"جيد",G9&gt;=60%,"مقبول",G9&lt;60%,"راسب")</f>
        <v/>
      </c>
      <c r="I9" s="33"/>
      <c r="J9" s="34"/>
    </row>
    <row r="10" spans="1:10" ht="39.950000000000003" customHeight="1" thickBot="1" x14ac:dyDescent="0.25">
      <c r="A10" s="10"/>
      <c r="B10" s="54" t="s">
        <v>111</v>
      </c>
      <c r="C10" s="55"/>
      <c r="D10" s="55"/>
      <c r="E10" s="26">
        <v>5</v>
      </c>
      <c r="F10" s="24" t="s">
        <v>26</v>
      </c>
      <c r="G10" s="25" t="str">
        <f t="shared" ref="G10:G69" si="0">IFERROR(F10/E10,"")</f>
        <v/>
      </c>
      <c r="H10" s="15" t="str">
        <f t="shared" ref="H10:H69" si="1">_xlfn.IFS(F10="أدخل العلامة","",F10="لا ينطبق","تم الإلغاء",G10&gt;=90%,"ممتاز",G10&gt;=80%,"جيد جداً",G10&gt;=70%,"جيد",G10&gt;=60%,"مقبول",G10&lt;60%,"راسب")</f>
        <v/>
      </c>
      <c r="I10" s="33"/>
      <c r="J10" s="34"/>
    </row>
    <row r="11" spans="1:10" ht="30" customHeight="1" x14ac:dyDescent="0.2">
      <c r="A11" s="10"/>
      <c r="B11" s="92" t="s">
        <v>112</v>
      </c>
      <c r="C11" s="93"/>
      <c r="D11" s="93"/>
      <c r="E11" s="93"/>
      <c r="F11" s="93"/>
      <c r="G11" s="93"/>
      <c r="H11" s="93"/>
      <c r="I11" s="93"/>
      <c r="J11" s="94"/>
    </row>
    <row r="12" spans="1:10" ht="30" customHeight="1" x14ac:dyDescent="0.2">
      <c r="A12" s="10"/>
      <c r="B12" s="56" t="s">
        <v>28</v>
      </c>
      <c r="C12" s="57"/>
      <c r="D12" s="57"/>
      <c r="E12" s="8">
        <v>5</v>
      </c>
      <c r="F12" s="13" t="s">
        <v>26</v>
      </c>
      <c r="G12" s="19" t="str">
        <f t="shared" si="0"/>
        <v/>
      </c>
      <c r="H12" s="20" t="str">
        <f t="shared" si="1"/>
        <v/>
      </c>
      <c r="I12" s="27"/>
      <c r="J12" s="28"/>
    </row>
    <row r="13" spans="1:10" ht="30" customHeight="1" x14ac:dyDescent="0.2">
      <c r="A13" s="10"/>
      <c r="B13" s="56" t="s">
        <v>29</v>
      </c>
      <c r="C13" s="57"/>
      <c r="D13" s="57"/>
      <c r="E13" s="8">
        <v>5</v>
      </c>
      <c r="F13" s="13" t="s">
        <v>26</v>
      </c>
      <c r="G13" s="19" t="str">
        <f t="shared" si="0"/>
        <v/>
      </c>
      <c r="H13" s="20" t="str">
        <f t="shared" si="1"/>
        <v/>
      </c>
      <c r="I13" s="27"/>
      <c r="J13" s="28"/>
    </row>
    <row r="14" spans="1:10" ht="30" customHeight="1" x14ac:dyDescent="0.2">
      <c r="A14" s="10"/>
      <c r="B14" s="56" t="s">
        <v>113</v>
      </c>
      <c r="C14" s="57"/>
      <c r="D14" s="57"/>
      <c r="E14" s="8">
        <v>5</v>
      </c>
      <c r="F14" s="13" t="s">
        <v>26</v>
      </c>
      <c r="G14" s="19" t="str">
        <f t="shared" si="0"/>
        <v/>
      </c>
      <c r="H14" s="20" t="str">
        <f t="shared" si="1"/>
        <v/>
      </c>
      <c r="I14" s="38" t="s">
        <v>107</v>
      </c>
      <c r="J14" s="39"/>
    </row>
    <row r="15" spans="1:10" ht="64.900000000000006" customHeight="1" thickBot="1" x14ac:dyDescent="0.25">
      <c r="A15" s="10"/>
      <c r="B15" s="58" t="s">
        <v>114</v>
      </c>
      <c r="C15" s="59"/>
      <c r="D15" s="59"/>
      <c r="E15" s="16">
        <v>5</v>
      </c>
      <c r="F15" s="14" t="s">
        <v>26</v>
      </c>
      <c r="G15" s="21" t="str">
        <f t="shared" si="0"/>
        <v/>
      </c>
      <c r="H15" s="22" t="str">
        <f t="shared" si="1"/>
        <v/>
      </c>
      <c r="I15" s="76"/>
      <c r="J15" s="77"/>
    </row>
    <row r="16" spans="1:10" ht="30" customHeight="1" x14ac:dyDescent="0.2">
      <c r="A16" s="10"/>
      <c r="B16" s="92" t="s">
        <v>115</v>
      </c>
      <c r="C16" s="93"/>
      <c r="D16" s="93"/>
      <c r="E16" s="93"/>
      <c r="F16" s="93"/>
      <c r="G16" s="93"/>
      <c r="H16" s="93"/>
      <c r="I16" s="93"/>
      <c r="J16" s="94"/>
    </row>
    <row r="17" spans="1:10" ht="30" customHeight="1" x14ac:dyDescent="0.2">
      <c r="A17" s="10"/>
      <c r="B17" s="56" t="s">
        <v>30</v>
      </c>
      <c r="C17" s="57"/>
      <c r="D17" s="57"/>
      <c r="E17" s="8">
        <v>15</v>
      </c>
      <c r="F17" s="13" t="s">
        <v>26</v>
      </c>
      <c r="G17" s="19" t="str">
        <f t="shared" si="0"/>
        <v/>
      </c>
      <c r="H17" s="20" t="str">
        <f t="shared" si="1"/>
        <v/>
      </c>
      <c r="I17" s="27"/>
      <c r="J17" s="28"/>
    </row>
    <row r="18" spans="1:10" ht="30" customHeight="1" x14ac:dyDescent="0.2">
      <c r="A18" s="10"/>
      <c r="B18" s="56" t="s">
        <v>31</v>
      </c>
      <c r="C18" s="57"/>
      <c r="D18" s="57"/>
      <c r="E18" s="8">
        <v>5</v>
      </c>
      <c r="F18" s="13" t="s">
        <v>26</v>
      </c>
      <c r="G18" s="19" t="str">
        <f t="shared" si="0"/>
        <v/>
      </c>
      <c r="H18" s="20" t="str">
        <f t="shared" si="1"/>
        <v/>
      </c>
      <c r="I18" s="27"/>
      <c r="J18" s="28"/>
    </row>
    <row r="19" spans="1:10" ht="30" customHeight="1" x14ac:dyDescent="0.2">
      <c r="A19" s="10"/>
      <c r="B19" s="56" t="s">
        <v>32</v>
      </c>
      <c r="C19" s="57"/>
      <c r="D19" s="57"/>
      <c r="E19" s="8">
        <v>5</v>
      </c>
      <c r="F19" s="13" t="s">
        <v>26</v>
      </c>
      <c r="G19" s="19" t="str">
        <f t="shared" si="0"/>
        <v/>
      </c>
      <c r="H19" s="20" t="str">
        <f t="shared" si="1"/>
        <v/>
      </c>
      <c r="I19" s="27"/>
      <c r="J19" s="28"/>
    </row>
    <row r="20" spans="1:10" ht="30" customHeight="1" x14ac:dyDescent="0.2">
      <c r="A20" s="10"/>
      <c r="B20" s="56" t="s">
        <v>33</v>
      </c>
      <c r="C20" s="57"/>
      <c r="D20" s="57"/>
      <c r="E20" s="8">
        <v>5</v>
      </c>
      <c r="F20" s="13" t="s">
        <v>26</v>
      </c>
      <c r="G20" s="19" t="str">
        <f t="shared" si="0"/>
        <v/>
      </c>
      <c r="H20" s="20" t="str">
        <f t="shared" si="1"/>
        <v/>
      </c>
      <c r="I20" s="27"/>
      <c r="J20" s="28"/>
    </row>
    <row r="21" spans="1:10" ht="30" customHeight="1" x14ac:dyDescent="0.2">
      <c r="A21" s="10"/>
      <c r="B21" s="56" t="s">
        <v>34</v>
      </c>
      <c r="C21" s="57"/>
      <c r="D21" s="57"/>
      <c r="E21" s="8">
        <v>5</v>
      </c>
      <c r="F21" s="13" t="s">
        <v>26</v>
      </c>
      <c r="G21" s="19" t="str">
        <f t="shared" si="0"/>
        <v/>
      </c>
      <c r="H21" s="20" t="str">
        <f t="shared" si="1"/>
        <v/>
      </c>
      <c r="I21" s="27"/>
      <c r="J21" s="28"/>
    </row>
    <row r="22" spans="1:10" ht="30" customHeight="1" x14ac:dyDescent="0.2">
      <c r="A22" s="10"/>
      <c r="B22" s="56" t="s">
        <v>35</v>
      </c>
      <c r="C22" s="57"/>
      <c r="D22" s="57"/>
      <c r="E22" s="8">
        <v>5</v>
      </c>
      <c r="F22" s="13" t="s">
        <v>26</v>
      </c>
      <c r="G22" s="19" t="str">
        <f t="shared" si="0"/>
        <v/>
      </c>
      <c r="H22" s="20" t="str">
        <f t="shared" si="1"/>
        <v/>
      </c>
      <c r="I22" s="27"/>
      <c r="J22" s="28"/>
    </row>
    <row r="23" spans="1:10" ht="30" customHeight="1" x14ac:dyDescent="0.2">
      <c r="A23" s="10"/>
      <c r="B23" s="56" t="s">
        <v>36</v>
      </c>
      <c r="C23" s="57"/>
      <c r="D23" s="57"/>
      <c r="E23" s="17">
        <v>5</v>
      </c>
      <c r="F23" s="13" t="s">
        <v>26</v>
      </c>
      <c r="G23" s="19" t="str">
        <f t="shared" si="0"/>
        <v/>
      </c>
      <c r="H23" s="20" t="str">
        <f t="shared" si="1"/>
        <v/>
      </c>
      <c r="I23" s="27"/>
      <c r="J23" s="28"/>
    </row>
    <row r="24" spans="1:10" ht="30" customHeight="1" x14ac:dyDescent="0.2">
      <c r="A24" s="10"/>
      <c r="B24" s="56" t="s">
        <v>37</v>
      </c>
      <c r="C24" s="57"/>
      <c r="D24" s="57"/>
      <c r="E24" s="17">
        <v>5</v>
      </c>
      <c r="F24" s="13" t="s">
        <v>26</v>
      </c>
      <c r="G24" s="19" t="str">
        <f t="shared" si="0"/>
        <v/>
      </c>
      <c r="H24" s="20" t="str">
        <f t="shared" si="1"/>
        <v/>
      </c>
      <c r="I24" s="27"/>
      <c r="J24" s="28"/>
    </row>
    <row r="25" spans="1:10" ht="30" customHeight="1" x14ac:dyDescent="0.2">
      <c r="A25" s="10"/>
      <c r="B25" s="56" t="s">
        <v>38</v>
      </c>
      <c r="C25" s="57"/>
      <c r="D25" s="57"/>
      <c r="E25" s="8">
        <v>5</v>
      </c>
      <c r="F25" s="13" t="s">
        <v>26</v>
      </c>
      <c r="G25" s="19" t="str">
        <f t="shared" si="0"/>
        <v/>
      </c>
      <c r="H25" s="20" t="str">
        <f t="shared" si="1"/>
        <v/>
      </c>
      <c r="I25" s="27"/>
      <c r="J25" s="28"/>
    </row>
    <row r="26" spans="1:10" ht="30" customHeight="1" thickBot="1" x14ac:dyDescent="0.25">
      <c r="A26" s="10"/>
      <c r="B26" s="56" t="s">
        <v>39</v>
      </c>
      <c r="C26" s="57"/>
      <c r="D26" s="57"/>
      <c r="E26" s="8">
        <v>10</v>
      </c>
      <c r="F26" s="13" t="s">
        <v>26</v>
      </c>
      <c r="G26" s="19" t="str">
        <f t="shared" si="0"/>
        <v/>
      </c>
      <c r="H26" s="20" t="str">
        <f t="shared" si="1"/>
        <v/>
      </c>
      <c r="I26" s="27"/>
      <c r="J26" s="28"/>
    </row>
    <row r="27" spans="1:10" ht="30" customHeight="1" x14ac:dyDescent="0.2">
      <c r="A27" s="10"/>
      <c r="B27" s="92" t="s">
        <v>116</v>
      </c>
      <c r="C27" s="93"/>
      <c r="D27" s="93"/>
      <c r="E27" s="93"/>
      <c r="F27" s="93"/>
      <c r="G27" s="93"/>
      <c r="H27" s="93"/>
      <c r="I27" s="93"/>
      <c r="J27" s="94"/>
    </row>
    <row r="28" spans="1:10" ht="30" customHeight="1" x14ac:dyDescent="0.2">
      <c r="A28" s="10"/>
      <c r="B28" s="56" t="s">
        <v>40</v>
      </c>
      <c r="C28" s="57"/>
      <c r="D28" s="57"/>
      <c r="E28" s="8">
        <v>5</v>
      </c>
      <c r="F28" s="13" t="s">
        <v>26</v>
      </c>
      <c r="G28" s="19" t="str">
        <f t="shared" si="0"/>
        <v/>
      </c>
      <c r="H28" s="20" t="str">
        <f t="shared" si="1"/>
        <v/>
      </c>
      <c r="I28" s="27"/>
      <c r="J28" s="28"/>
    </row>
    <row r="29" spans="1:10" ht="30" customHeight="1" x14ac:dyDescent="0.2">
      <c r="A29" s="10"/>
      <c r="B29" s="56" t="s">
        <v>41</v>
      </c>
      <c r="C29" s="57"/>
      <c r="D29" s="57"/>
      <c r="E29" s="8">
        <v>5</v>
      </c>
      <c r="F29" s="13" t="s">
        <v>26</v>
      </c>
      <c r="G29" s="19" t="str">
        <f t="shared" si="0"/>
        <v/>
      </c>
      <c r="H29" s="20" t="str">
        <f t="shared" si="1"/>
        <v/>
      </c>
      <c r="I29" s="27"/>
      <c r="J29" s="28"/>
    </row>
    <row r="30" spans="1:10" ht="30" customHeight="1" x14ac:dyDescent="0.2">
      <c r="A30" s="10"/>
      <c r="B30" s="56" t="s">
        <v>42</v>
      </c>
      <c r="C30" s="57"/>
      <c r="D30" s="57"/>
      <c r="E30" s="8">
        <v>5</v>
      </c>
      <c r="F30" s="13" t="s">
        <v>26</v>
      </c>
      <c r="G30" s="19" t="str">
        <f t="shared" si="0"/>
        <v/>
      </c>
      <c r="H30" s="20" t="str">
        <f t="shared" si="1"/>
        <v/>
      </c>
      <c r="I30" s="27"/>
      <c r="J30" s="28"/>
    </row>
    <row r="31" spans="1:10" ht="39.950000000000003" customHeight="1" x14ac:dyDescent="0.2">
      <c r="A31" s="10"/>
      <c r="B31" s="56" t="s">
        <v>43</v>
      </c>
      <c r="C31" s="57"/>
      <c r="D31" s="57"/>
      <c r="E31" s="8">
        <v>5</v>
      </c>
      <c r="F31" s="13" t="s">
        <v>26</v>
      </c>
      <c r="G31" s="19" t="str">
        <f t="shared" si="0"/>
        <v/>
      </c>
      <c r="H31" s="20" t="str">
        <f t="shared" si="1"/>
        <v/>
      </c>
      <c r="I31" s="27"/>
      <c r="J31" s="28"/>
    </row>
    <row r="32" spans="1:10" ht="30" customHeight="1" x14ac:dyDescent="0.2">
      <c r="A32" s="10"/>
      <c r="B32" s="56" t="s">
        <v>44</v>
      </c>
      <c r="C32" s="57"/>
      <c r="D32" s="57"/>
      <c r="E32" s="8">
        <v>5</v>
      </c>
      <c r="F32" s="13" t="s">
        <v>26</v>
      </c>
      <c r="G32" s="19" t="str">
        <f t="shared" si="0"/>
        <v/>
      </c>
      <c r="H32" s="20" t="str">
        <f t="shared" si="1"/>
        <v/>
      </c>
      <c r="I32" s="27"/>
      <c r="J32" s="28"/>
    </row>
    <row r="33" spans="1:10" ht="39.950000000000003" customHeight="1" thickBot="1" x14ac:dyDescent="0.25">
      <c r="A33" s="10"/>
      <c r="B33" s="58" t="s">
        <v>45</v>
      </c>
      <c r="C33" s="59"/>
      <c r="D33" s="59"/>
      <c r="E33" s="16">
        <v>5</v>
      </c>
      <c r="F33" s="14" t="s">
        <v>26</v>
      </c>
      <c r="G33" s="21" t="str">
        <f t="shared" si="0"/>
        <v/>
      </c>
      <c r="H33" s="22" t="str">
        <f t="shared" si="1"/>
        <v/>
      </c>
      <c r="I33" s="35"/>
      <c r="J33" s="36"/>
    </row>
    <row r="34" spans="1:10" ht="30" customHeight="1" x14ac:dyDescent="0.2">
      <c r="A34" s="10"/>
      <c r="B34" s="92" t="s">
        <v>117</v>
      </c>
      <c r="C34" s="93"/>
      <c r="D34" s="93"/>
      <c r="E34" s="93"/>
      <c r="F34" s="93"/>
      <c r="G34" s="93"/>
      <c r="H34" s="93"/>
      <c r="I34" s="93"/>
      <c r="J34" s="94"/>
    </row>
    <row r="35" spans="1:10" ht="30" customHeight="1" x14ac:dyDescent="0.2">
      <c r="A35" s="10"/>
      <c r="B35" s="56" t="s">
        <v>46</v>
      </c>
      <c r="C35" s="57"/>
      <c r="D35" s="57"/>
      <c r="E35" s="8">
        <v>5</v>
      </c>
      <c r="F35" s="13" t="s">
        <v>26</v>
      </c>
      <c r="G35" s="19" t="str">
        <f t="shared" si="0"/>
        <v/>
      </c>
      <c r="H35" s="20" t="str">
        <f t="shared" si="1"/>
        <v/>
      </c>
      <c r="I35" s="27"/>
      <c r="J35" s="28"/>
    </row>
    <row r="36" spans="1:10" ht="30" customHeight="1" x14ac:dyDescent="0.2">
      <c r="A36" s="10"/>
      <c r="B36" s="56" t="s">
        <v>47</v>
      </c>
      <c r="C36" s="57"/>
      <c r="D36" s="57"/>
      <c r="E36" s="8">
        <v>5</v>
      </c>
      <c r="F36" s="13" t="s">
        <v>26</v>
      </c>
      <c r="G36" s="19" t="str">
        <f t="shared" si="0"/>
        <v/>
      </c>
      <c r="H36" s="20" t="str">
        <f t="shared" si="1"/>
        <v/>
      </c>
      <c r="I36" s="27"/>
      <c r="J36" s="28"/>
    </row>
    <row r="37" spans="1:10" ht="30" customHeight="1" x14ac:dyDescent="0.2">
      <c r="A37" s="10"/>
      <c r="B37" s="56" t="s">
        <v>48</v>
      </c>
      <c r="C37" s="57"/>
      <c r="D37" s="57"/>
      <c r="E37" s="8">
        <v>5</v>
      </c>
      <c r="F37" s="13" t="s">
        <v>26</v>
      </c>
      <c r="G37" s="19" t="str">
        <f t="shared" si="0"/>
        <v/>
      </c>
      <c r="H37" s="20" t="str">
        <f t="shared" si="1"/>
        <v/>
      </c>
      <c r="I37" s="27"/>
      <c r="J37" s="28"/>
    </row>
    <row r="38" spans="1:10" ht="30" customHeight="1" x14ac:dyDescent="0.2">
      <c r="A38" s="10"/>
      <c r="B38" s="56" t="s">
        <v>49</v>
      </c>
      <c r="C38" s="57"/>
      <c r="D38" s="57"/>
      <c r="E38" s="8">
        <v>5</v>
      </c>
      <c r="F38" s="13" t="s">
        <v>26</v>
      </c>
      <c r="G38" s="19" t="str">
        <f t="shared" si="0"/>
        <v/>
      </c>
      <c r="H38" s="20" t="str">
        <f t="shared" si="1"/>
        <v/>
      </c>
      <c r="I38" s="27"/>
      <c r="J38" s="28"/>
    </row>
    <row r="39" spans="1:10" ht="30" customHeight="1" thickBot="1" x14ac:dyDescent="0.25">
      <c r="A39" s="10"/>
      <c r="B39" s="58" t="s">
        <v>50</v>
      </c>
      <c r="C39" s="59"/>
      <c r="D39" s="59"/>
      <c r="E39" s="16">
        <v>5</v>
      </c>
      <c r="F39" s="14" t="s">
        <v>26</v>
      </c>
      <c r="G39" s="21" t="str">
        <f t="shared" si="0"/>
        <v/>
      </c>
      <c r="H39" s="22" t="str">
        <f t="shared" si="1"/>
        <v/>
      </c>
      <c r="I39" s="35"/>
      <c r="J39" s="36"/>
    </row>
    <row r="40" spans="1:10" ht="30" customHeight="1" x14ac:dyDescent="0.2">
      <c r="A40" s="10"/>
      <c r="B40" s="92" t="s">
        <v>51</v>
      </c>
      <c r="C40" s="93"/>
      <c r="D40" s="93"/>
      <c r="E40" s="93"/>
      <c r="F40" s="93"/>
      <c r="G40" s="93"/>
      <c r="H40" s="93"/>
      <c r="I40" s="93"/>
      <c r="J40" s="94"/>
    </row>
    <row r="41" spans="1:10" ht="39.950000000000003" customHeight="1" x14ac:dyDescent="0.2">
      <c r="A41" s="10"/>
      <c r="B41" s="89" t="s">
        <v>118</v>
      </c>
      <c r="C41" s="90"/>
      <c r="D41" s="91"/>
      <c r="E41" s="23"/>
      <c r="F41" s="13"/>
      <c r="G41" s="19"/>
      <c r="H41" s="20"/>
      <c r="I41" s="27"/>
      <c r="J41" s="28"/>
    </row>
    <row r="42" spans="1:10" ht="30" customHeight="1" x14ac:dyDescent="0.2">
      <c r="A42" s="10"/>
      <c r="B42" s="74" t="s">
        <v>52</v>
      </c>
      <c r="C42" s="75"/>
      <c r="D42" s="75"/>
      <c r="E42" s="8">
        <v>5</v>
      </c>
      <c r="F42" s="13" t="s">
        <v>26</v>
      </c>
      <c r="G42" s="19" t="str">
        <f t="shared" si="0"/>
        <v/>
      </c>
      <c r="H42" s="20" t="str">
        <f t="shared" si="1"/>
        <v/>
      </c>
      <c r="I42" s="27"/>
      <c r="J42" s="28"/>
    </row>
    <row r="43" spans="1:10" ht="39.950000000000003" customHeight="1" x14ac:dyDescent="0.2">
      <c r="A43" s="10"/>
      <c r="B43" s="74" t="s">
        <v>53</v>
      </c>
      <c r="C43" s="75"/>
      <c r="D43" s="75"/>
      <c r="E43" s="8">
        <v>5</v>
      </c>
      <c r="F43" s="13" t="s">
        <v>26</v>
      </c>
      <c r="G43" s="19" t="str">
        <f t="shared" si="0"/>
        <v/>
      </c>
      <c r="H43" s="20" t="str">
        <f t="shared" si="1"/>
        <v/>
      </c>
      <c r="I43" s="27"/>
      <c r="J43" s="28"/>
    </row>
    <row r="44" spans="1:10" ht="39.950000000000003" customHeight="1" x14ac:dyDescent="0.2">
      <c r="A44" s="10"/>
      <c r="B44" s="74" t="s">
        <v>54</v>
      </c>
      <c r="C44" s="75"/>
      <c r="D44" s="75"/>
      <c r="E44" s="8">
        <v>5</v>
      </c>
      <c r="F44" s="13" t="s">
        <v>26</v>
      </c>
      <c r="G44" s="19" t="str">
        <f t="shared" si="0"/>
        <v/>
      </c>
      <c r="H44" s="20" t="str">
        <f t="shared" si="1"/>
        <v/>
      </c>
      <c r="I44" s="27"/>
      <c r="J44" s="28"/>
    </row>
    <row r="45" spans="1:10" ht="30" customHeight="1" x14ac:dyDescent="0.2">
      <c r="A45" s="10"/>
      <c r="B45" s="56" t="s">
        <v>130</v>
      </c>
      <c r="C45" s="57"/>
      <c r="D45" s="57"/>
      <c r="E45" s="8"/>
      <c r="F45" s="13"/>
      <c r="G45" s="19"/>
      <c r="H45" s="20"/>
      <c r="I45" s="27"/>
      <c r="J45" s="28"/>
    </row>
    <row r="46" spans="1:10" ht="39.950000000000003" customHeight="1" x14ac:dyDescent="0.2">
      <c r="A46" s="10"/>
      <c r="B46" s="74" t="s">
        <v>55</v>
      </c>
      <c r="C46" s="75"/>
      <c r="D46" s="75"/>
      <c r="E46" s="8">
        <v>10</v>
      </c>
      <c r="F46" s="13" t="s">
        <v>26</v>
      </c>
      <c r="G46" s="19" t="str">
        <f t="shared" si="0"/>
        <v/>
      </c>
      <c r="H46" s="20" t="str">
        <f t="shared" si="1"/>
        <v/>
      </c>
      <c r="I46" s="27"/>
      <c r="J46" s="28"/>
    </row>
    <row r="47" spans="1:10" ht="50.1" customHeight="1" x14ac:dyDescent="0.2">
      <c r="A47" s="10"/>
      <c r="B47" s="74" t="s">
        <v>131</v>
      </c>
      <c r="C47" s="75"/>
      <c r="D47" s="75"/>
      <c r="E47" s="8">
        <v>5</v>
      </c>
      <c r="F47" s="13" t="s">
        <v>26</v>
      </c>
      <c r="G47" s="19" t="str">
        <f t="shared" si="0"/>
        <v/>
      </c>
      <c r="H47" s="20" t="str">
        <f t="shared" si="1"/>
        <v/>
      </c>
      <c r="I47" s="27"/>
      <c r="J47" s="28"/>
    </row>
    <row r="48" spans="1:10" ht="39.950000000000003" customHeight="1" x14ac:dyDescent="0.2">
      <c r="A48" s="10"/>
      <c r="B48" s="74" t="s">
        <v>56</v>
      </c>
      <c r="C48" s="75"/>
      <c r="D48" s="75"/>
      <c r="E48" s="8">
        <v>5</v>
      </c>
      <c r="F48" s="13" t="s">
        <v>26</v>
      </c>
      <c r="G48" s="19" t="str">
        <f t="shared" si="0"/>
        <v/>
      </c>
      <c r="H48" s="20" t="str">
        <f t="shared" si="1"/>
        <v/>
      </c>
      <c r="I48" s="27"/>
      <c r="J48" s="28"/>
    </row>
    <row r="49" spans="1:10" ht="50.1" customHeight="1" x14ac:dyDescent="0.2">
      <c r="A49" s="10"/>
      <c r="B49" s="74" t="s">
        <v>119</v>
      </c>
      <c r="C49" s="75"/>
      <c r="D49" s="75"/>
      <c r="E49" s="8">
        <v>5</v>
      </c>
      <c r="F49" s="13" t="s">
        <v>26</v>
      </c>
      <c r="G49" s="19" t="str">
        <f t="shared" si="0"/>
        <v/>
      </c>
      <c r="H49" s="20" t="str">
        <f t="shared" si="1"/>
        <v/>
      </c>
      <c r="I49" s="27"/>
      <c r="J49" s="28"/>
    </row>
    <row r="50" spans="1:10" ht="71.25" customHeight="1" x14ac:dyDescent="0.2">
      <c r="A50" s="10"/>
      <c r="B50" s="74" t="s">
        <v>57</v>
      </c>
      <c r="C50" s="75"/>
      <c r="D50" s="75"/>
      <c r="E50" s="8">
        <v>5</v>
      </c>
      <c r="F50" s="13" t="s">
        <v>26</v>
      </c>
      <c r="G50" s="19" t="str">
        <f t="shared" si="0"/>
        <v/>
      </c>
      <c r="H50" s="20" t="str">
        <f t="shared" si="1"/>
        <v/>
      </c>
      <c r="I50" s="27"/>
      <c r="J50" s="28"/>
    </row>
    <row r="51" spans="1:10" ht="50.1" customHeight="1" x14ac:dyDescent="0.2">
      <c r="A51" s="10"/>
      <c r="B51" s="74" t="s">
        <v>58</v>
      </c>
      <c r="C51" s="75"/>
      <c r="D51" s="75"/>
      <c r="E51" s="8">
        <v>5</v>
      </c>
      <c r="F51" s="13" t="s">
        <v>26</v>
      </c>
      <c r="G51" s="19" t="str">
        <f t="shared" si="0"/>
        <v/>
      </c>
      <c r="H51" s="20" t="str">
        <f t="shared" si="1"/>
        <v/>
      </c>
      <c r="I51" s="27"/>
      <c r="J51" s="28"/>
    </row>
    <row r="52" spans="1:10" ht="50.1" customHeight="1" x14ac:dyDescent="0.2">
      <c r="A52" s="10"/>
      <c r="B52" s="89" t="s">
        <v>59</v>
      </c>
      <c r="C52" s="90"/>
      <c r="D52" s="91"/>
      <c r="E52" s="23"/>
      <c r="F52" s="13"/>
      <c r="G52" s="19"/>
      <c r="H52" s="20"/>
      <c r="I52" s="27"/>
      <c r="J52" s="28"/>
    </row>
    <row r="53" spans="1:10" ht="30" customHeight="1" x14ac:dyDescent="0.2">
      <c r="A53" s="10"/>
      <c r="B53" s="80" t="s">
        <v>60</v>
      </c>
      <c r="C53" s="81"/>
      <c r="D53" s="82"/>
      <c r="E53" s="23"/>
      <c r="F53" s="13"/>
      <c r="G53" s="19"/>
      <c r="H53" s="20"/>
      <c r="I53" s="27"/>
      <c r="J53" s="28"/>
    </row>
    <row r="54" spans="1:10" ht="30" customHeight="1" x14ac:dyDescent="0.2">
      <c r="A54" s="10"/>
      <c r="B54" s="78" t="s">
        <v>61</v>
      </c>
      <c r="C54" s="79"/>
      <c r="D54" s="79"/>
      <c r="E54" s="8">
        <v>2</v>
      </c>
      <c r="F54" s="13" t="s">
        <v>26</v>
      </c>
      <c r="G54" s="19" t="str">
        <f t="shared" si="0"/>
        <v/>
      </c>
      <c r="H54" s="20" t="str">
        <f t="shared" si="1"/>
        <v/>
      </c>
      <c r="I54" s="27"/>
      <c r="J54" s="28"/>
    </row>
    <row r="55" spans="1:10" ht="30" customHeight="1" x14ac:dyDescent="0.2">
      <c r="A55" s="10"/>
      <c r="B55" s="78" t="s">
        <v>62</v>
      </c>
      <c r="C55" s="79"/>
      <c r="D55" s="79"/>
      <c r="E55" s="8">
        <v>3</v>
      </c>
      <c r="F55" s="13" t="s">
        <v>26</v>
      </c>
      <c r="G55" s="19" t="str">
        <f t="shared" si="0"/>
        <v/>
      </c>
      <c r="H55" s="20" t="str">
        <f t="shared" si="1"/>
        <v/>
      </c>
      <c r="I55" s="27"/>
      <c r="J55" s="28"/>
    </row>
    <row r="56" spans="1:10" ht="30" customHeight="1" x14ac:dyDescent="0.2">
      <c r="A56" s="10"/>
      <c r="B56" s="78" t="s">
        <v>63</v>
      </c>
      <c r="C56" s="79"/>
      <c r="D56" s="79"/>
      <c r="E56" s="8">
        <v>5</v>
      </c>
      <c r="F56" s="13" t="s">
        <v>26</v>
      </c>
      <c r="G56" s="19" t="str">
        <f t="shared" si="0"/>
        <v/>
      </c>
      <c r="H56" s="20" t="str">
        <f t="shared" si="1"/>
        <v/>
      </c>
      <c r="I56" s="27"/>
      <c r="J56" s="28"/>
    </row>
    <row r="57" spans="1:10" ht="39.950000000000003" customHeight="1" x14ac:dyDescent="0.2">
      <c r="A57" s="10"/>
      <c r="B57" s="80" t="s">
        <v>120</v>
      </c>
      <c r="C57" s="81"/>
      <c r="D57" s="82"/>
      <c r="E57" s="23"/>
      <c r="F57" s="13"/>
      <c r="G57" s="19"/>
      <c r="H57" s="20"/>
      <c r="I57" s="27"/>
      <c r="J57" s="28"/>
    </row>
    <row r="58" spans="1:10" ht="30" customHeight="1" x14ac:dyDescent="0.2">
      <c r="A58" s="10"/>
      <c r="B58" s="78" t="s">
        <v>121</v>
      </c>
      <c r="C58" s="79"/>
      <c r="D58" s="79"/>
      <c r="E58" s="8">
        <v>5</v>
      </c>
      <c r="F58" s="13" t="s">
        <v>26</v>
      </c>
      <c r="G58" s="19" t="str">
        <f t="shared" si="0"/>
        <v/>
      </c>
      <c r="H58" s="20" t="str">
        <f t="shared" si="1"/>
        <v/>
      </c>
      <c r="I58" s="38" t="s">
        <v>108</v>
      </c>
      <c r="J58" s="39"/>
    </row>
    <row r="59" spans="1:10" ht="30" customHeight="1" x14ac:dyDescent="0.2">
      <c r="A59" s="10"/>
      <c r="B59" s="78" t="s">
        <v>122</v>
      </c>
      <c r="C59" s="79"/>
      <c r="D59" s="79"/>
      <c r="E59" s="8">
        <v>5</v>
      </c>
      <c r="F59" s="13" t="s">
        <v>26</v>
      </c>
      <c r="G59" s="19" t="str">
        <f t="shared" si="0"/>
        <v/>
      </c>
      <c r="H59" s="20" t="str">
        <f t="shared" si="1"/>
        <v/>
      </c>
      <c r="I59" s="40"/>
      <c r="J59" s="41"/>
    </row>
    <row r="60" spans="1:10" ht="30" customHeight="1" x14ac:dyDescent="0.2">
      <c r="A60" s="10"/>
      <c r="B60" s="78" t="s">
        <v>123</v>
      </c>
      <c r="C60" s="79"/>
      <c r="D60" s="79"/>
      <c r="E60" s="8">
        <v>5</v>
      </c>
      <c r="F60" s="13" t="s">
        <v>26</v>
      </c>
      <c r="G60" s="19" t="str">
        <f t="shared" si="0"/>
        <v/>
      </c>
      <c r="H60" s="20" t="str">
        <f t="shared" si="1"/>
        <v/>
      </c>
      <c r="I60" s="40"/>
      <c r="J60" s="41"/>
    </row>
    <row r="61" spans="1:10" ht="30" customHeight="1" x14ac:dyDescent="0.2">
      <c r="A61" s="10"/>
      <c r="B61" s="78" t="s">
        <v>124</v>
      </c>
      <c r="C61" s="79"/>
      <c r="D61" s="79"/>
      <c r="E61" s="8">
        <v>5</v>
      </c>
      <c r="F61" s="13" t="s">
        <v>26</v>
      </c>
      <c r="G61" s="19" t="str">
        <f t="shared" si="0"/>
        <v/>
      </c>
      <c r="H61" s="20" t="str">
        <f t="shared" si="1"/>
        <v/>
      </c>
      <c r="I61" s="40"/>
      <c r="J61" s="41"/>
    </row>
    <row r="62" spans="1:10" ht="30" customHeight="1" x14ac:dyDescent="0.2">
      <c r="A62" s="10"/>
      <c r="B62" s="78" t="s">
        <v>125</v>
      </c>
      <c r="C62" s="79"/>
      <c r="D62" s="79"/>
      <c r="E62" s="8">
        <v>5</v>
      </c>
      <c r="F62" s="13" t="s">
        <v>26</v>
      </c>
      <c r="G62" s="19" t="str">
        <f t="shared" si="0"/>
        <v/>
      </c>
      <c r="H62" s="20" t="str">
        <f t="shared" si="1"/>
        <v/>
      </c>
      <c r="I62" s="40"/>
      <c r="J62" s="41"/>
    </row>
    <row r="63" spans="1:10" ht="30" customHeight="1" x14ac:dyDescent="0.2">
      <c r="A63" s="10"/>
      <c r="B63" s="78" t="s">
        <v>64</v>
      </c>
      <c r="C63" s="79"/>
      <c r="D63" s="79"/>
      <c r="E63" s="8">
        <v>5</v>
      </c>
      <c r="F63" s="13" t="s">
        <v>26</v>
      </c>
      <c r="G63" s="19" t="str">
        <f t="shared" si="0"/>
        <v/>
      </c>
      <c r="H63" s="20" t="str">
        <f t="shared" si="1"/>
        <v/>
      </c>
      <c r="I63" s="42"/>
      <c r="J63" s="43"/>
    </row>
    <row r="64" spans="1:10" ht="30" customHeight="1" x14ac:dyDescent="0.2">
      <c r="A64" s="10"/>
      <c r="B64" s="80" t="s">
        <v>65</v>
      </c>
      <c r="C64" s="81"/>
      <c r="D64" s="82"/>
      <c r="E64" s="23"/>
      <c r="F64" s="13"/>
      <c r="G64" s="19"/>
      <c r="H64" s="20"/>
      <c r="I64" s="27"/>
      <c r="J64" s="28"/>
    </row>
    <row r="65" spans="1:10" ht="30" customHeight="1" x14ac:dyDescent="0.2">
      <c r="A65" s="10"/>
      <c r="B65" s="97" t="s">
        <v>66</v>
      </c>
      <c r="C65" s="98"/>
      <c r="D65" s="99"/>
      <c r="E65" s="23"/>
      <c r="F65" s="13"/>
      <c r="G65" s="19"/>
      <c r="H65" s="20"/>
      <c r="I65" s="27"/>
      <c r="J65" s="28"/>
    </row>
    <row r="66" spans="1:10" ht="30" customHeight="1" x14ac:dyDescent="0.2">
      <c r="A66" s="10"/>
      <c r="B66" s="78" t="s">
        <v>67</v>
      </c>
      <c r="C66" s="79"/>
      <c r="D66" s="79"/>
      <c r="E66" s="8">
        <v>5</v>
      </c>
      <c r="F66" s="13" t="s">
        <v>26</v>
      </c>
      <c r="G66" s="19" t="str">
        <f t="shared" si="0"/>
        <v/>
      </c>
      <c r="H66" s="20" t="str">
        <f t="shared" si="1"/>
        <v/>
      </c>
      <c r="I66" s="27"/>
      <c r="J66" s="28"/>
    </row>
    <row r="67" spans="1:10" ht="30" customHeight="1" x14ac:dyDescent="0.2">
      <c r="A67" s="10"/>
      <c r="B67" s="78" t="s">
        <v>68</v>
      </c>
      <c r="C67" s="79"/>
      <c r="D67" s="79"/>
      <c r="E67" s="8">
        <v>5</v>
      </c>
      <c r="F67" s="13" t="s">
        <v>26</v>
      </c>
      <c r="G67" s="19" t="str">
        <f t="shared" si="0"/>
        <v/>
      </c>
      <c r="H67" s="20" t="str">
        <f t="shared" si="1"/>
        <v/>
      </c>
      <c r="I67" s="27"/>
      <c r="J67" s="28"/>
    </row>
    <row r="68" spans="1:10" ht="30" customHeight="1" x14ac:dyDescent="0.2">
      <c r="A68" s="10"/>
      <c r="B68" s="78" t="s">
        <v>69</v>
      </c>
      <c r="C68" s="79"/>
      <c r="D68" s="79"/>
      <c r="E68" s="8">
        <v>5</v>
      </c>
      <c r="F68" s="13" t="s">
        <v>26</v>
      </c>
      <c r="G68" s="19" t="str">
        <f t="shared" si="0"/>
        <v/>
      </c>
      <c r="H68" s="20" t="str">
        <f t="shared" si="1"/>
        <v/>
      </c>
      <c r="I68" s="27"/>
      <c r="J68" s="28"/>
    </row>
    <row r="69" spans="1:10" ht="30" customHeight="1" thickBot="1" x14ac:dyDescent="0.25">
      <c r="A69" s="10"/>
      <c r="B69" s="78" t="s">
        <v>70</v>
      </c>
      <c r="C69" s="79"/>
      <c r="D69" s="79"/>
      <c r="E69" s="8">
        <v>5</v>
      </c>
      <c r="F69" s="13" t="s">
        <v>26</v>
      </c>
      <c r="G69" s="19" t="str">
        <f t="shared" si="0"/>
        <v/>
      </c>
      <c r="H69" s="20" t="str">
        <f t="shared" si="1"/>
        <v/>
      </c>
      <c r="I69" s="27"/>
      <c r="J69" s="28"/>
    </row>
    <row r="70" spans="1:10" ht="30" customHeight="1" x14ac:dyDescent="0.2">
      <c r="A70" s="10"/>
      <c r="B70" s="92" t="s">
        <v>126</v>
      </c>
      <c r="C70" s="93"/>
      <c r="D70" s="93"/>
      <c r="E70" s="93"/>
      <c r="F70" s="93"/>
      <c r="G70" s="93"/>
      <c r="H70" s="93"/>
      <c r="I70" s="93"/>
      <c r="J70" s="94"/>
    </row>
    <row r="71" spans="1:10" ht="30" customHeight="1" x14ac:dyDescent="0.2">
      <c r="A71" s="10"/>
      <c r="B71" s="56" t="s">
        <v>71</v>
      </c>
      <c r="C71" s="57"/>
      <c r="D71" s="57"/>
      <c r="E71" s="8">
        <v>5</v>
      </c>
      <c r="F71" s="13" t="s">
        <v>26</v>
      </c>
      <c r="G71" s="19" t="str">
        <f t="shared" ref="G71:G109" si="2">IFERROR(F71/E71,"")</f>
        <v/>
      </c>
      <c r="H71" s="20" t="str">
        <f t="shared" ref="H71:H109" si="3">_xlfn.IFS(F71="أدخل العلامة","",F71="لا ينطبق","تم الإلغاء",G71&gt;=90%,"ممتاز",G71&gt;=80%,"جيد جداً",G71&gt;=70%,"جيد",G71&gt;=60%,"مقبول",G71&lt;60%,"راسب")</f>
        <v/>
      </c>
      <c r="I71" s="27"/>
      <c r="J71" s="28"/>
    </row>
    <row r="72" spans="1:10" ht="30" customHeight="1" x14ac:dyDescent="0.2">
      <c r="A72" s="10"/>
      <c r="B72" s="56" t="s">
        <v>72</v>
      </c>
      <c r="C72" s="57"/>
      <c r="D72" s="57"/>
      <c r="E72" s="8">
        <v>5</v>
      </c>
      <c r="F72" s="13" t="s">
        <v>26</v>
      </c>
      <c r="G72" s="19" t="str">
        <f t="shared" si="2"/>
        <v/>
      </c>
      <c r="H72" s="20" t="str">
        <f t="shared" si="3"/>
        <v/>
      </c>
      <c r="I72" s="27"/>
      <c r="J72" s="28"/>
    </row>
    <row r="73" spans="1:10" ht="30" customHeight="1" x14ac:dyDescent="0.2">
      <c r="A73" s="10"/>
      <c r="B73" s="56" t="s">
        <v>73</v>
      </c>
      <c r="C73" s="57"/>
      <c r="D73" s="57"/>
      <c r="E73" s="8">
        <v>5</v>
      </c>
      <c r="F73" s="13" t="s">
        <v>26</v>
      </c>
      <c r="G73" s="19" t="str">
        <f t="shared" si="2"/>
        <v/>
      </c>
      <c r="H73" s="20" t="str">
        <f t="shared" si="3"/>
        <v/>
      </c>
      <c r="I73" s="27"/>
      <c r="J73" s="28"/>
    </row>
    <row r="74" spans="1:10" ht="30" customHeight="1" x14ac:dyDescent="0.2">
      <c r="A74" s="10"/>
      <c r="B74" s="56" t="s">
        <v>74</v>
      </c>
      <c r="C74" s="57"/>
      <c r="D74" s="57"/>
      <c r="E74" s="8">
        <v>5</v>
      </c>
      <c r="F74" s="13" t="s">
        <v>26</v>
      </c>
      <c r="G74" s="19" t="str">
        <f t="shared" si="2"/>
        <v/>
      </c>
      <c r="H74" s="20" t="str">
        <f t="shared" si="3"/>
        <v/>
      </c>
      <c r="I74" s="27"/>
      <c r="J74" s="28"/>
    </row>
    <row r="75" spans="1:10" ht="30" customHeight="1" x14ac:dyDescent="0.2">
      <c r="A75" s="10"/>
      <c r="B75" s="56" t="s">
        <v>75</v>
      </c>
      <c r="C75" s="57"/>
      <c r="D75" s="57"/>
      <c r="E75" s="8">
        <v>5</v>
      </c>
      <c r="F75" s="13" t="s">
        <v>26</v>
      </c>
      <c r="G75" s="19" t="str">
        <f t="shared" si="2"/>
        <v/>
      </c>
      <c r="H75" s="20" t="str">
        <f t="shared" si="3"/>
        <v/>
      </c>
      <c r="I75" s="27"/>
      <c r="J75" s="28"/>
    </row>
    <row r="76" spans="1:10" ht="30" customHeight="1" x14ac:dyDescent="0.2">
      <c r="A76" s="10"/>
      <c r="B76" s="89" t="s">
        <v>76</v>
      </c>
      <c r="C76" s="90"/>
      <c r="D76" s="91"/>
      <c r="E76" s="23"/>
      <c r="F76" s="13"/>
      <c r="G76" s="19"/>
      <c r="H76" s="20"/>
      <c r="I76" s="27"/>
      <c r="J76" s="28"/>
    </row>
    <row r="77" spans="1:10" ht="39.950000000000003" customHeight="1" x14ac:dyDescent="0.2">
      <c r="A77" s="10"/>
      <c r="B77" s="74" t="s">
        <v>77</v>
      </c>
      <c r="C77" s="75"/>
      <c r="D77" s="75"/>
      <c r="E77" s="8">
        <v>5</v>
      </c>
      <c r="F77" s="13" t="s">
        <v>26</v>
      </c>
      <c r="G77" s="19" t="str">
        <f t="shared" si="2"/>
        <v/>
      </c>
      <c r="H77" s="20" t="str">
        <f t="shared" si="3"/>
        <v/>
      </c>
      <c r="I77" s="27"/>
      <c r="J77" s="28"/>
    </row>
    <row r="78" spans="1:10" ht="39.950000000000003" customHeight="1" x14ac:dyDescent="0.2">
      <c r="A78" s="10"/>
      <c r="B78" s="74" t="s">
        <v>78</v>
      </c>
      <c r="C78" s="75"/>
      <c r="D78" s="75"/>
      <c r="E78" s="8">
        <v>5</v>
      </c>
      <c r="F78" s="13" t="s">
        <v>26</v>
      </c>
      <c r="G78" s="19" t="str">
        <f t="shared" si="2"/>
        <v/>
      </c>
      <c r="H78" s="20" t="str">
        <f t="shared" si="3"/>
        <v/>
      </c>
      <c r="I78" s="27"/>
      <c r="J78" s="28"/>
    </row>
    <row r="79" spans="1:10" ht="50.1" customHeight="1" x14ac:dyDescent="0.2">
      <c r="A79" s="10"/>
      <c r="B79" s="74" t="s">
        <v>79</v>
      </c>
      <c r="C79" s="75"/>
      <c r="D79" s="75"/>
      <c r="E79" s="8">
        <v>5</v>
      </c>
      <c r="F79" s="13" t="s">
        <v>26</v>
      </c>
      <c r="G79" s="19" t="str">
        <f t="shared" si="2"/>
        <v/>
      </c>
      <c r="H79" s="20" t="str">
        <f t="shared" si="3"/>
        <v/>
      </c>
      <c r="I79" s="27"/>
      <c r="J79" s="28"/>
    </row>
    <row r="80" spans="1:10" ht="30" customHeight="1" thickBot="1" x14ac:dyDescent="0.25">
      <c r="A80" s="10"/>
      <c r="B80" s="58" t="s">
        <v>80</v>
      </c>
      <c r="C80" s="59"/>
      <c r="D80" s="59"/>
      <c r="E80" s="16">
        <v>5</v>
      </c>
      <c r="F80" s="14" t="s">
        <v>26</v>
      </c>
      <c r="G80" s="21" t="str">
        <f t="shared" si="2"/>
        <v/>
      </c>
      <c r="H80" s="22" t="str">
        <f t="shared" si="3"/>
        <v/>
      </c>
      <c r="I80" s="35"/>
      <c r="J80" s="36"/>
    </row>
    <row r="81" spans="1:10" ht="30" customHeight="1" x14ac:dyDescent="0.2">
      <c r="A81" s="10"/>
      <c r="B81" s="92" t="s">
        <v>127</v>
      </c>
      <c r="C81" s="93"/>
      <c r="D81" s="93"/>
      <c r="E81" s="93"/>
      <c r="F81" s="93"/>
      <c r="G81" s="93"/>
      <c r="H81" s="93"/>
      <c r="I81" s="93"/>
      <c r="J81" s="94"/>
    </row>
    <row r="82" spans="1:10" ht="30" customHeight="1" x14ac:dyDescent="0.2">
      <c r="A82" s="10"/>
      <c r="B82" s="56" t="s">
        <v>81</v>
      </c>
      <c r="C82" s="57"/>
      <c r="D82" s="57"/>
      <c r="E82" s="8">
        <v>5</v>
      </c>
      <c r="F82" s="13" t="s">
        <v>26</v>
      </c>
      <c r="G82" s="19" t="str">
        <f t="shared" si="2"/>
        <v/>
      </c>
      <c r="H82" s="20" t="str">
        <f t="shared" si="3"/>
        <v/>
      </c>
      <c r="I82" s="27"/>
      <c r="J82" s="28"/>
    </row>
    <row r="83" spans="1:10" ht="30" customHeight="1" x14ac:dyDescent="0.2">
      <c r="A83" s="10"/>
      <c r="B83" s="89" t="s">
        <v>82</v>
      </c>
      <c r="C83" s="90"/>
      <c r="D83" s="91"/>
      <c r="E83" s="23"/>
      <c r="F83" s="13"/>
      <c r="G83" s="19"/>
      <c r="H83" s="20"/>
      <c r="I83" s="27"/>
      <c r="J83" s="28"/>
    </row>
    <row r="84" spans="1:10" ht="30" customHeight="1" x14ac:dyDescent="0.2">
      <c r="A84" s="10"/>
      <c r="B84" s="80" t="s">
        <v>83</v>
      </c>
      <c r="C84" s="81"/>
      <c r="D84" s="82"/>
      <c r="E84" s="23"/>
      <c r="F84" s="13"/>
      <c r="G84" s="19"/>
      <c r="H84" s="20"/>
      <c r="I84" s="27"/>
      <c r="J84" s="28"/>
    </row>
    <row r="85" spans="1:10" ht="30" customHeight="1" x14ac:dyDescent="0.2">
      <c r="A85" s="10"/>
      <c r="B85" s="78" t="s">
        <v>84</v>
      </c>
      <c r="C85" s="79"/>
      <c r="D85" s="79"/>
      <c r="E85" s="8">
        <v>5</v>
      </c>
      <c r="F85" s="13" t="s">
        <v>26</v>
      </c>
      <c r="G85" s="19" t="str">
        <f t="shared" si="2"/>
        <v/>
      </c>
      <c r="H85" s="20" t="str">
        <f t="shared" si="3"/>
        <v/>
      </c>
      <c r="I85" s="27"/>
      <c r="J85" s="28"/>
    </row>
    <row r="86" spans="1:10" ht="30" customHeight="1" x14ac:dyDescent="0.2">
      <c r="A86" s="10"/>
      <c r="B86" s="78" t="s">
        <v>85</v>
      </c>
      <c r="C86" s="79"/>
      <c r="D86" s="79"/>
      <c r="E86" s="8">
        <v>5</v>
      </c>
      <c r="F86" s="13" t="s">
        <v>26</v>
      </c>
      <c r="G86" s="19" t="str">
        <f t="shared" si="2"/>
        <v/>
      </c>
      <c r="H86" s="20" t="str">
        <f t="shared" si="3"/>
        <v/>
      </c>
      <c r="I86" s="27"/>
      <c r="J86" s="28"/>
    </row>
    <row r="87" spans="1:10" ht="30" customHeight="1" x14ac:dyDescent="0.2">
      <c r="A87" s="10"/>
      <c r="B87" s="78" t="s">
        <v>86</v>
      </c>
      <c r="C87" s="79"/>
      <c r="D87" s="79"/>
      <c r="E87" s="8">
        <v>5</v>
      </c>
      <c r="F87" s="13" t="s">
        <v>26</v>
      </c>
      <c r="G87" s="19" t="str">
        <f t="shared" si="2"/>
        <v/>
      </c>
      <c r="H87" s="20" t="str">
        <f t="shared" si="3"/>
        <v/>
      </c>
      <c r="I87" s="27"/>
      <c r="J87" s="28"/>
    </row>
    <row r="88" spans="1:10" ht="30" customHeight="1" x14ac:dyDescent="0.2">
      <c r="A88" s="10"/>
      <c r="B88" s="78" t="s">
        <v>87</v>
      </c>
      <c r="C88" s="79"/>
      <c r="D88" s="79"/>
      <c r="E88" s="8">
        <v>5</v>
      </c>
      <c r="F88" s="13" t="s">
        <v>26</v>
      </c>
      <c r="G88" s="19" t="str">
        <f t="shared" si="2"/>
        <v/>
      </c>
      <c r="H88" s="20" t="str">
        <f t="shared" si="3"/>
        <v/>
      </c>
      <c r="I88" s="27"/>
      <c r="J88" s="28"/>
    </row>
    <row r="89" spans="1:10" ht="30" customHeight="1" x14ac:dyDescent="0.2">
      <c r="A89" s="10"/>
      <c r="B89" s="83" t="s">
        <v>88</v>
      </c>
      <c r="C89" s="84"/>
      <c r="D89" s="84"/>
      <c r="E89" s="8">
        <v>5</v>
      </c>
      <c r="F89" s="13" t="s">
        <v>26</v>
      </c>
      <c r="G89" s="19" t="str">
        <f t="shared" si="2"/>
        <v/>
      </c>
      <c r="H89" s="20" t="str">
        <f t="shared" si="3"/>
        <v/>
      </c>
      <c r="I89" s="27"/>
      <c r="J89" s="28"/>
    </row>
    <row r="90" spans="1:10" ht="30" customHeight="1" x14ac:dyDescent="0.2">
      <c r="A90" s="10"/>
      <c r="B90" s="83" t="s">
        <v>89</v>
      </c>
      <c r="C90" s="84"/>
      <c r="D90" s="84"/>
      <c r="E90" s="8">
        <v>5</v>
      </c>
      <c r="F90" s="13" t="s">
        <v>26</v>
      </c>
      <c r="G90" s="19" t="str">
        <f t="shared" si="2"/>
        <v/>
      </c>
      <c r="H90" s="20" t="str">
        <f t="shared" si="3"/>
        <v/>
      </c>
      <c r="I90" s="27"/>
      <c r="J90" s="28"/>
    </row>
    <row r="91" spans="1:10" ht="30" customHeight="1" x14ac:dyDescent="0.2">
      <c r="A91" s="10"/>
      <c r="B91" s="56" t="s">
        <v>90</v>
      </c>
      <c r="C91" s="57"/>
      <c r="D91" s="57"/>
      <c r="E91" s="8">
        <v>5</v>
      </c>
      <c r="F91" s="13" t="s">
        <v>26</v>
      </c>
      <c r="G91" s="19" t="str">
        <f t="shared" si="2"/>
        <v/>
      </c>
      <c r="H91" s="20" t="str">
        <f t="shared" si="3"/>
        <v/>
      </c>
      <c r="I91" s="27"/>
      <c r="J91" s="28"/>
    </row>
    <row r="92" spans="1:10" ht="30" customHeight="1" x14ac:dyDescent="0.2">
      <c r="A92" s="10"/>
      <c r="B92" s="89" t="s">
        <v>91</v>
      </c>
      <c r="C92" s="90"/>
      <c r="D92" s="91"/>
      <c r="E92" s="23"/>
      <c r="F92" s="13"/>
      <c r="G92" s="19"/>
      <c r="H92" s="20"/>
      <c r="I92" s="27"/>
      <c r="J92" s="28"/>
    </row>
    <row r="93" spans="1:10" ht="30" customHeight="1" x14ac:dyDescent="0.2">
      <c r="A93" s="10"/>
      <c r="B93" s="74" t="s">
        <v>92</v>
      </c>
      <c r="C93" s="75"/>
      <c r="D93" s="75"/>
      <c r="E93" s="8">
        <v>5</v>
      </c>
      <c r="F93" s="13" t="s">
        <v>26</v>
      </c>
      <c r="G93" s="19" t="str">
        <f t="shared" si="2"/>
        <v/>
      </c>
      <c r="H93" s="20" t="str">
        <f t="shared" si="3"/>
        <v/>
      </c>
      <c r="I93" s="27"/>
      <c r="J93" s="28"/>
    </row>
    <row r="94" spans="1:10" ht="30" customHeight="1" x14ac:dyDescent="0.2">
      <c r="A94" s="10"/>
      <c r="B94" s="74" t="s">
        <v>93</v>
      </c>
      <c r="C94" s="75"/>
      <c r="D94" s="75"/>
      <c r="E94" s="8">
        <v>5</v>
      </c>
      <c r="F94" s="13" t="s">
        <v>26</v>
      </c>
      <c r="G94" s="19" t="str">
        <f t="shared" si="2"/>
        <v/>
      </c>
      <c r="H94" s="20" t="str">
        <f t="shared" si="3"/>
        <v/>
      </c>
      <c r="I94" s="27"/>
      <c r="J94" s="28"/>
    </row>
    <row r="95" spans="1:10" ht="30" customHeight="1" x14ac:dyDescent="0.2">
      <c r="A95" s="10"/>
      <c r="B95" s="74" t="s">
        <v>94</v>
      </c>
      <c r="C95" s="75"/>
      <c r="D95" s="75"/>
      <c r="E95" s="8">
        <v>5</v>
      </c>
      <c r="F95" s="13" t="s">
        <v>26</v>
      </c>
      <c r="G95" s="19" t="str">
        <f t="shared" si="2"/>
        <v/>
      </c>
      <c r="H95" s="20" t="str">
        <f t="shared" si="3"/>
        <v/>
      </c>
      <c r="I95" s="27"/>
      <c r="J95" s="28"/>
    </row>
    <row r="96" spans="1:10" ht="30" customHeight="1" x14ac:dyDescent="0.2">
      <c r="A96" s="10"/>
      <c r="B96" s="85" t="s">
        <v>95</v>
      </c>
      <c r="C96" s="86"/>
      <c r="D96" s="86"/>
      <c r="E96" s="8">
        <v>5</v>
      </c>
      <c r="F96" s="13" t="s">
        <v>26</v>
      </c>
      <c r="G96" s="19" t="str">
        <f t="shared" si="2"/>
        <v/>
      </c>
      <c r="H96" s="20" t="str">
        <f t="shared" si="3"/>
        <v/>
      </c>
      <c r="I96" s="27"/>
      <c r="J96" s="28"/>
    </row>
    <row r="97" spans="1:10" ht="30" customHeight="1" thickBot="1" x14ac:dyDescent="0.25">
      <c r="A97" s="10"/>
      <c r="B97" s="87" t="s">
        <v>96</v>
      </c>
      <c r="C97" s="88"/>
      <c r="D97" s="88"/>
      <c r="E97" s="16">
        <v>5</v>
      </c>
      <c r="F97" s="14" t="s">
        <v>26</v>
      </c>
      <c r="G97" s="21" t="str">
        <f t="shared" si="2"/>
        <v/>
      </c>
      <c r="H97" s="22" t="str">
        <f t="shared" si="3"/>
        <v/>
      </c>
      <c r="I97" s="35"/>
      <c r="J97" s="36"/>
    </row>
    <row r="98" spans="1:10" ht="30" customHeight="1" x14ac:dyDescent="0.2">
      <c r="A98" s="10"/>
      <c r="B98" s="92" t="s">
        <v>128</v>
      </c>
      <c r="C98" s="93"/>
      <c r="D98" s="93"/>
      <c r="E98" s="93"/>
      <c r="F98" s="93"/>
      <c r="G98" s="93"/>
      <c r="H98" s="93"/>
      <c r="I98" s="93"/>
      <c r="J98" s="94"/>
    </row>
    <row r="99" spans="1:10" ht="30" customHeight="1" x14ac:dyDescent="0.2">
      <c r="A99" s="10"/>
      <c r="B99" s="89" t="s">
        <v>97</v>
      </c>
      <c r="C99" s="90"/>
      <c r="D99" s="91"/>
      <c r="E99" s="23"/>
      <c r="F99" s="13"/>
      <c r="G99" s="19"/>
      <c r="H99" s="20"/>
      <c r="I99" s="27"/>
      <c r="J99" s="28"/>
    </row>
    <row r="100" spans="1:10" ht="30" customHeight="1" x14ac:dyDescent="0.2">
      <c r="A100" s="10"/>
      <c r="B100" s="74" t="s">
        <v>98</v>
      </c>
      <c r="C100" s="75"/>
      <c r="D100" s="75"/>
      <c r="E100" s="8">
        <v>5</v>
      </c>
      <c r="F100" s="13" t="s">
        <v>26</v>
      </c>
      <c r="G100" s="19" t="str">
        <f t="shared" si="2"/>
        <v/>
      </c>
      <c r="H100" s="20" t="str">
        <f t="shared" si="3"/>
        <v/>
      </c>
      <c r="I100" s="27"/>
      <c r="J100" s="28"/>
    </row>
    <row r="101" spans="1:10" ht="30" customHeight="1" x14ac:dyDescent="0.2">
      <c r="A101" s="10"/>
      <c r="B101" s="74" t="s">
        <v>99</v>
      </c>
      <c r="C101" s="75"/>
      <c r="D101" s="75"/>
      <c r="E101" s="8">
        <v>5</v>
      </c>
      <c r="F101" s="13" t="s">
        <v>26</v>
      </c>
      <c r="G101" s="19" t="str">
        <f t="shared" si="2"/>
        <v/>
      </c>
      <c r="H101" s="20" t="str">
        <f t="shared" si="3"/>
        <v/>
      </c>
      <c r="I101" s="27"/>
      <c r="J101" s="28"/>
    </row>
    <row r="102" spans="1:10" ht="30" customHeight="1" x14ac:dyDescent="0.2">
      <c r="A102" s="10"/>
      <c r="B102" s="74" t="s">
        <v>100</v>
      </c>
      <c r="C102" s="75"/>
      <c r="D102" s="75"/>
      <c r="E102" s="8">
        <v>5</v>
      </c>
      <c r="F102" s="13" t="s">
        <v>26</v>
      </c>
      <c r="G102" s="19" t="str">
        <f t="shared" si="2"/>
        <v/>
      </c>
      <c r="H102" s="20" t="str">
        <f t="shared" si="3"/>
        <v/>
      </c>
      <c r="I102" s="27"/>
      <c r="J102" s="28"/>
    </row>
    <row r="103" spans="1:10" ht="30" customHeight="1" x14ac:dyDescent="0.2">
      <c r="A103" s="10"/>
      <c r="B103" s="89" t="s">
        <v>101</v>
      </c>
      <c r="C103" s="90"/>
      <c r="D103" s="91"/>
      <c r="E103" s="23"/>
      <c r="F103" s="13"/>
      <c r="G103" s="19"/>
      <c r="H103" s="20"/>
      <c r="I103" s="27"/>
      <c r="J103" s="28"/>
    </row>
    <row r="104" spans="1:10" ht="30" customHeight="1" x14ac:dyDescent="0.2">
      <c r="A104" s="10"/>
      <c r="B104" s="74" t="s">
        <v>102</v>
      </c>
      <c r="C104" s="75"/>
      <c r="D104" s="75"/>
      <c r="E104" s="8">
        <v>5</v>
      </c>
      <c r="F104" s="13" t="s">
        <v>26</v>
      </c>
      <c r="G104" s="19" t="str">
        <f t="shared" si="2"/>
        <v/>
      </c>
      <c r="H104" s="20" t="str">
        <f t="shared" si="3"/>
        <v/>
      </c>
      <c r="I104" s="27"/>
      <c r="J104" s="28"/>
    </row>
    <row r="105" spans="1:10" ht="30" customHeight="1" x14ac:dyDescent="0.2">
      <c r="A105" s="10"/>
      <c r="B105" s="74" t="s">
        <v>103</v>
      </c>
      <c r="C105" s="75"/>
      <c r="D105" s="75"/>
      <c r="E105" s="8">
        <v>5</v>
      </c>
      <c r="F105" s="13" t="s">
        <v>26</v>
      </c>
      <c r="G105" s="19" t="str">
        <f t="shared" si="2"/>
        <v/>
      </c>
      <c r="H105" s="20" t="str">
        <f t="shared" si="3"/>
        <v/>
      </c>
      <c r="I105" s="27"/>
      <c r="J105" s="28"/>
    </row>
    <row r="106" spans="1:10" ht="30" customHeight="1" x14ac:dyDescent="0.2">
      <c r="A106" s="10"/>
      <c r="B106" s="89" t="s">
        <v>104</v>
      </c>
      <c r="C106" s="90"/>
      <c r="D106" s="91"/>
      <c r="E106" s="23"/>
      <c r="F106" s="13"/>
      <c r="G106" s="19"/>
      <c r="H106" s="20"/>
      <c r="I106" s="27"/>
      <c r="J106" s="28"/>
    </row>
    <row r="107" spans="1:10" ht="39.950000000000003" customHeight="1" x14ac:dyDescent="0.2">
      <c r="A107" s="10"/>
      <c r="B107" s="74" t="s">
        <v>105</v>
      </c>
      <c r="C107" s="75"/>
      <c r="D107" s="75"/>
      <c r="E107" s="8">
        <v>5</v>
      </c>
      <c r="F107" s="13" t="s">
        <v>26</v>
      </c>
      <c r="G107" s="19" t="str">
        <f t="shared" si="2"/>
        <v/>
      </c>
      <c r="H107" s="20" t="str">
        <f t="shared" si="3"/>
        <v/>
      </c>
      <c r="I107" s="27"/>
      <c r="J107" s="28"/>
    </row>
    <row r="108" spans="1:10" ht="30" customHeight="1" thickBot="1" x14ac:dyDescent="0.25">
      <c r="A108" s="10"/>
      <c r="B108" s="95" t="s">
        <v>106</v>
      </c>
      <c r="C108" s="96"/>
      <c r="D108" s="96"/>
      <c r="E108" s="16">
        <v>5</v>
      </c>
      <c r="F108" s="14" t="s">
        <v>26</v>
      </c>
      <c r="G108" s="21" t="str">
        <f t="shared" si="2"/>
        <v/>
      </c>
      <c r="H108" s="22" t="str">
        <f t="shared" si="3"/>
        <v/>
      </c>
      <c r="I108" s="35"/>
      <c r="J108" s="36"/>
    </row>
    <row r="109" spans="1:10" ht="30" customHeight="1" thickBot="1" x14ac:dyDescent="0.25">
      <c r="A109" s="10"/>
      <c r="B109" s="54" t="s">
        <v>129</v>
      </c>
      <c r="C109" s="55"/>
      <c r="D109" s="55"/>
      <c r="E109" s="9">
        <v>5</v>
      </c>
      <c r="F109" s="24" t="s">
        <v>26</v>
      </c>
      <c r="G109" s="25" t="str">
        <f t="shared" si="2"/>
        <v/>
      </c>
      <c r="H109" s="15" t="str">
        <f t="shared" si="3"/>
        <v/>
      </c>
      <c r="I109" s="33"/>
      <c r="J109" s="34"/>
    </row>
    <row r="110" spans="1:10" ht="30" customHeight="1" thickBot="1" x14ac:dyDescent="0.25">
      <c r="A110" s="3"/>
      <c r="B110" s="66" t="s">
        <v>5</v>
      </c>
      <c r="C110" s="67"/>
      <c r="D110" s="67"/>
      <c r="E110" s="9">
        <f>SUM(E8:E109)</f>
        <v>415</v>
      </c>
      <c r="F110" s="9">
        <f>SUM(F8:F109)</f>
        <v>0</v>
      </c>
      <c r="G110" s="30"/>
      <c r="H110" s="31"/>
      <c r="I110" s="31"/>
      <c r="J110" s="32"/>
    </row>
    <row r="111" spans="1:10" ht="30" customHeight="1" thickBot="1" x14ac:dyDescent="0.25">
      <c r="A111" s="3"/>
      <c r="B111" s="66" t="s">
        <v>20</v>
      </c>
      <c r="C111" s="67"/>
      <c r="D111" s="67"/>
      <c r="E111" s="60">
        <f>F110/E110/100*100</f>
        <v>0</v>
      </c>
      <c r="F111" s="60"/>
      <c r="G111" s="60"/>
      <c r="H111" s="60"/>
      <c r="I111" s="60"/>
      <c r="J111" s="61"/>
    </row>
    <row r="112" spans="1:10" ht="30" customHeight="1" thickBot="1" x14ac:dyDescent="0.25">
      <c r="A112" s="3"/>
      <c r="B112" s="66" t="s">
        <v>21</v>
      </c>
      <c r="C112" s="67"/>
      <c r="D112" s="67"/>
      <c r="E112" s="72" t="str">
        <f>_xlfn.IFS(E111&gt;=90%,"ممتاز",E111&gt;=80%,"جيد جداً",E111&gt;=70%,"جيد",E111&gt;=60%,"مقبول",E111&lt;60%,"راسب")</f>
        <v>راسب</v>
      </c>
      <c r="F112" s="72"/>
      <c r="G112" s="72"/>
      <c r="H112" s="72"/>
      <c r="I112" s="72"/>
      <c r="J112" s="73"/>
    </row>
    <row r="113" spans="1:10" ht="42" customHeight="1" x14ac:dyDescent="0.2">
      <c r="B113" s="68" t="s">
        <v>109</v>
      </c>
      <c r="C113" s="68"/>
      <c r="D113" s="68"/>
      <c r="E113" s="37" t="s">
        <v>18</v>
      </c>
      <c r="F113" s="37"/>
      <c r="G113" s="70" t="s">
        <v>24</v>
      </c>
      <c r="H113" s="70"/>
      <c r="I113" s="70"/>
      <c r="J113" s="70"/>
    </row>
    <row r="114" spans="1:10" ht="165" customHeight="1" x14ac:dyDescent="0.2">
      <c r="A114" s="4"/>
      <c r="B114" s="69"/>
      <c r="C114" s="69"/>
      <c r="D114" s="69"/>
      <c r="E114" s="29" t="s">
        <v>19</v>
      </c>
      <c r="F114" s="29"/>
      <c r="G114" s="71"/>
      <c r="H114" s="71"/>
      <c r="I114" s="71"/>
      <c r="J114" s="71"/>
    </row>
  </sheetData>
  <sheetProtection sheet="1" formatCells="0" formatColumns="0" formatRows="0" insertColumns="0" insertRows="0" insertHyperlinks="0" deleteColumns="0" deleteRows="0" selectLockedCells="1" sort="0" autoFilter="0" pivotTables="0"/>
  <mergeCells count="211">
    <mergeCell ref="B104:D104"/>
    <mergeCell ref="B105:D105"/>
    <mergeCell ref="B107:D107"/>
    <mergeCell ref="B108:D108"/>
    <mergeCell ref="B109:D109"/>
    <mergeCell ref="B103:D103"/>
    <mergeCell ref="B106:D106"/>
    <mergeCell ref="B11:J11"/>
    <mergeCell ref="B16:J16"/>
    <mergeCell ref="B27:J27"/>
    <mergeCell ref="B34:J34"/>
    <mergeCell ref="B40:J40"/>
    <mergeCell ref="B41:D41"/>
    <mergeCell ref="B52:D52"/>
    <mergeCell ref="B53:D53"/>
    <mergeCell ref="B57:D57"/>
    <mergeCell ref="B64:D64"/>
    <mergeCell ref="B65:D65"/>
    <mergeCell ref="B70:J70"/>
    <mergeCell ref="B76:D76"/>
    <mergeCell ref="B83:D83"/>
    <mergeCell ref="B81:J81"/>
    <mergeCell ref="B101:D101"/>
    <mergeCell ref="B102:D102"/>
    <mergeCell ref="B94:D94"/>
    <mergeCell ref="B95:D95"/>
    <mergeCell ref="B96:D96"/>
    <mergeCell ref="B97:D97"/>
    <mergeCell ref="B100:D100"/>
    <mergeCell ref="B92:D92"/>
    <mergeCell ref="B98:J98"/>
    <mergeCell ref="B99:D99"/>
    <mergeCell ref="I91:J91"/>
    <mergeCell ref="I92:J92"/>
    <mergeCell ref="I93:J93"/>
    <mergeCell ref="I94:J94"/>
    <mergeCell ref="I95:J95"/>
    <mergeCell ref="I96:J96"/>
    <mergeCell ref="I97:J97"/>
    <mergeCell ref="I99:J99"/>
    <mergeCell ref="I100:J100"/>
    <mergeCell ref="B85:D85"/>
    <mergeCell ref="B86:D86"/>
    <mergeCell ref="B87:D87"/>
    <mergeCell ref="B88:D88"/>
    <mergeCell ref="B84:D84"/>
    <mergeCell ref="B89:D89"/>
    <mergeCell ref="B90:D90"/>
    <mergeCell ref="B91:D91"/>
    <mergeCell ref="B93:D93"/>
    <mergeCell ref="B72:D72"/>
    <mergeCell ref="B73:D73"/>
    <mergeCell ref="B74:D74"/>
    <mergeCell ref="B75:D75"/>
    <mergeCell ref="B77:D77"/>
    <mergeCell ref="B78:D78"/>
    <mergeCell ref="B79:D79"/>
    <mergeCell ref="B80:D80"/>
    <mergeCell ref="B82:D82"/>
    <mergeCell ref="B60:D60"/>
    <mergeCell ref="B61:D61"/>
    <mergeCell ref="B62:D62"/>
    <mergeCell ref="B63:D63"/>
    <mergeCell ref="B66:D66"/>
    <mergeCell ref="B67:D67"/>
    <mergeCell ref="B68:D68"/>
    <mergeCell ref="B69:D69"/>
    <mergeCell ref="B71:D71"/>
    <mergeCell ref="B48:D48"/>
    <mergeCell ref="B49:D49"/>
    <mergeCell ref="B50:D50"/>
    <mergeCell ref="B51:D51"/>
    <mergeCell ref="B54:D54"/>
    <mergeCell ref="B55:D55"/>
    <mergeCell ref="B56:D56"/>
    <mergeCell ref="B58:D58"/>
    <mergeCell ref="B59:D59"/>
    <mergeCell ref="B35:D35"/>
    <mergeCell ref="B36:D36"/>
    <mergeCell ref="B37:D37"/>
    <mergeCell ref="B38:D38"/>
    <mergeCell ref="B39:D39"/>
    <mergeCell ref="B42:D42"/>
    <mergeCell ref="B43:D43"/>
    <mergeCell ref="B44:D44"/>
    <mergeCell ref="B45:D45"/>
    <mergeCell ref="I22:J22"/>
    <mergeCell ref="I23:J23"/>
    <mergeCell ref="B12:D12"/>
    <mergeCell ref="B13:D13"/>
    <mergeCell ref="B14:D14"/>
    <mergeCell ref="B15:D15"/>
    <mergeCell ref="B17:D17"/>
    <mergeCell ref="B18:D18"/>
    <mergeCell ref="B19:D19"/>
    <mergeCell ref="B20:D20"/>
    <mergeCell ref="B21:D21"/>
    <mergeCell ref="B22:D22"/>
    <mergeCell ref="B23:D23"/>
    <mergeCell ref="I14:J15"/>
    <mergeCell ref="B113:D114"/>
    <mergeCell ref="G113:J113"/>
    <mergeCell ref="G114:J114"/>
    <mergeCell ref="E112:J112"/>
    <mergeCell ref="I39:J39"/>
    <mergeCell ref="I41:J41"/>
    <mergeCell ref="I42:J42"/>
    <mergeCell ref="I43:J43"/>
    <mergeCell ref="I82:J82"/>
    <mergeCell ref="I48:J48"/>
    <mergeCell ref="I49:J49"/>
    <mergeCell ref="I50:J50"/>
    <mergeCell ref="I51:J51"/>
    <mergeCell ref="I52:J52"/>
    <mergeCell ref="I53:J53"/>
    <mergeCell ref="I54:J54"/>
    <mergeCell ref="I55:J55"/>
    <mergeCell ref="I56:J56"/>
    <mergeCell ref="I57:J57"/>
    <mergeCell ref="I90:J90"/>
    <mergeCell ref="B112:D112"/>
    <mergeCell ref="I83:J83"/>
    <mergeCell ref="B46:D46"/>
    <mergeCell ref="B47:D47"/>
    <mergeCell ref="E111:J111"/>
    <mergeCell ref="B7:D7"/>
    <mergeCell ref="I37:J37"/>
    <mergeCell ref="I38:J38"/>
    <mergeCell ref="I71:J71"/>
    <mergeCell ref="I72:J72"/>
    <mergeCell ref="I29:J29"/>
    <mergeCell ref="I30:J30"/>
    <mergeCell ref="I36:J36"/>
    <mergeCell ref="I7:J7"/>
    <mergeCell ref="I10:J10"/>
    <mergeCell ref="I31:J31"/>
    <mergeCell ref="I32:J32"/>
    <mergeCell ref="I33:J33"/>
    <mergeCell ref="I35:J35"/>
    <mergeCell ref="I8:J8"/>
    <mergeCell ref="B110:D110"/>
    <mergeCell ref="B111:D111"/>
    <mergeCell ref="B8:D8"/>
    <mergeCell ref="I12:J12"/>
    <mergeCell ref="I13:J13"/>
    <mergeCell ref="I17:J17"/>
    <mergeCell ref="I18:J18"/>
    <mergeCell ref="I19:J19"/>
    <mergeCell ref="I28:J28"/>
    <mergeCell ref="I58:J63"/>
    <mergeCell ref="B1:J1"/>
    <mergeCell ref="F2:J2"/>
    <mergeCell ref="B5:D6"/>
    <mergeCell ref="C2:D2"/>
    <mergeCell ref="C3:D3"/>
    <mergeCell ref="F3:J3"/>
    <mergeCell ref="E5:H5"/>
    <mergeCell ref="I5:J6"/>
    <mergeCell ref="B9:D9"/>
    <mergeCell ref="I9:J9"/>
    <mergeCell ref="B10:D10"/>
    <mergeCell ref="B25:D25"/>
    <mergeCell ref="B26:D26"/>
    <mergeCell ref="B28:D28"/>
    <mergeCell ref="B29:D29"/>
    <mergeCell ref="B30:D30"/>
    <mergeCell ref="B31:D31"/>
    <mergeCell ref="B32:D32"/>
    <mergeCell ref="B24:D24"/>
    <mergeCell ref="B33:D33"/>
    <mergeCell ref="I20:J20"/>
    <mergeCell ref="I21:J21"/>
    <mergeCell ref="I45:J45"/>
    <mergeCell ref="I46:J46"/>
    <mergeCell ref="I47:J47"/>
    <mergeCell ref="I89:J89"/>
    <mergeCell ref="I84:J84"/>
    <mergeCell ref="I85:J85"/>
    <mergeCell ref="I86:J86"/>
    <mergeCell ref="I87:J87"/>
    <mergeCell ref="I88:J88"/>
    <mergeCell ref="I64:J64"/>
    <mergeCell ref="I65:J65"/>
    <mergeCell ref="I66:J66"/>
    <mergeCell ref="I67:J67"/>
    <mergeCell ref="I68:J68"/>
    <mergeCell ref="I69:J69"/>
    <mergeCell ref="I24:J24"/>
    <mergeCell ref="E114:F114"/>
    <mergeCell ref="G110:J110"/>
    <mergeCell ref="I109:J109"/>
    <mergeCell ref="I73:J73"/>
    <mergeCell ref="I74:J74"/>
    <mergeCell ref="I75:J75"/>
    <mergeCell ref="I76:J76"/>
    <mergeCell ref="I77:J77"/>
    <mergeCell ref="I78:J78"/>
    <mergeCell ref="I79:J79"/>
    <mergeCell ref="I80:J80"/>
    <mergeCell ref="I101:J101"/>
    <mergeCell ref="I102:J102"/>
    <mergeCell ref="I103:J103"/>
    <mergeCell ref="I104:J104"/>
    <mergeCell ref="I105:J105"/>
    <mergeCell ref="I106:J106"/>
    <mergeCell ref="I107:J107"/>
    <mergeCell ref="I108:J108"/>
    <mergeCell ref="E113:F113"/>
    <mergeCell ref="I25:J25"/>
    <mergeCell ref="I26:J26"/>
    <mergeCell ref="I44:J44"/>
  </mergeCells>
  <conditionalFormatting sqref="C2:D2">
    <cfRule type="containsText" dxfId="23" priority="18" operator="containsText" text="أدخل الوحدة الخاضعة للتقييم">
      <formula>NOT(ISERROR(SEARCH("أدخل الوحدة الخاضعة للتقييم",C2)))</formula>
    </cfRule>
  </conditionalFormatting>
  <conditionalFormatting sqref="C3:D3">
    <cfRule type="containsText" dxfId="22" priority="17" operator="containsText" text="أدخل أسم قائد الوحدة الخاضعة للتقييم">
      <formula>NOT(ISERROR(SEARCH("أدخل أسم قائد الوحدة الخاضعة للتقييم",C3)))</formula>
    </cfRule>
  </conditionalFormatting>
  <conditionalFormatting sqref="E112">
    <cfRule type="expression" dxfId="21" priority="57">
      <formula>$E112="راسب"</formula>
    </cfRule>
  </conditionalFormatting>
  <conditionalFormatting sqref="E112:J112">
    <cfRule type="expression" dxfId="20" priority="58">
      <formula>$E112="مقبول"</formula>
    </cfRule>
    <cfRule type="expression" dxfId="19" priority="59">
      <formula>$E112="جيد"</formula>
    </cfRule>
    <cfRule type="expression" dxfId="18" priority="60">
      <formula>$E112="جيد جداً"</formula>
    </cfRule>
    <cfRule type="expression" dxfId="17" priority="61">
      <formula>$E112="ممتاز"</formula>
    </cfRule>
  </conditionalFormatting>
  <conditionalFormatting sqref="F8:F10">
    <cfRule type="containsText" dxfId="16" priority="4" operator="containsText" text="أدخل العلامة">
      <formula>NOT(ISERROR(SEARCH("أدخل العلامة",F8)))</formula>
    </cfRule>
  </conditionalFormatting>
  <conditionalFormatting sqref="F12:F15 F17:F26 F28:F33 F35:F39 F41:F69 F71:F80 F82:F97 F99:F109">
    <cfRule type="containsText" dxfId="15" priority="14" operator="containsText" text="أدخل العلامة">
      <formula>NOT(ISERROR(SEARCH("أدخل العلامة",F12)))</formula>
    </cfRule>
  </conditionalFormatting>
  <conditionalFormatting sqref="F2:J2">
    <cfRule type="containsText" dxfId="14" priority="19" operator="containsText" text="أدخل التاريخ">
      <formula>NOT(ISERROR(SEARCH("أدخل التاريخ",F2)))</formula>
    </cfRule>
  </conditionalFormatting>
  <conditionalFormatting sqref="F3:J3">
    <cfRule type="containsText" dxfId="13" priority="16" operator="containsText" text="أدخل أسم المحكم">
      <formula>NOT(ISERROR(SEARCH("أدخل أسم المحكم",F3)))</formula>
    </cfRule>
  </conditionalFormatting>
  <conditionalFormatting sqref="G113:J113">
    <cfRule type="containsText" dxfId="12" priority="15" operator="containsText" text="أدخل اسم المحكم">
      <formula>NOT(ISERROR(SEARCH("أدخل اسم المحكم",G113)))</formula>
    </cfRule>
  </conditionalFormatting>
  <conditionalFormatting sqref="H8:H10">
    <cfRule type="containsText" dxfId="11" priority="5" operator="containsText" text="أدخل العلامة">
      <formula>NOT(ISERROR(SEARCH("أدخل العلامة",H8)))</formula>
    </cfRule>
    <cfRule type="containsText" dxfId="10" priority="6" operator="containsText" text="ممتاز">
      <formula>NOT(ISERROR(SEARCH("ممتاز",H8)))</formula>
    </cfRule>
    <cfRule type="containsText" dxfId="9" priority="7" operator="containsText" text="جيد جداً">
      <formula>NOT(ISERROR(SEARCH("جيد جداً",H8)))</formula>
    </cfRule>
    <cfRule type="containsText" dxfId="8" priority="8" operator="containsText" text="جيد">
      <formula>NOT(ISERROR(SEARCH("جيد",H8)))</formula>
    </cfRule>
    <cfRule type="containsText" dxfId="7" priority="9" operator="containsText" text="مقبول">
      <formula>NOT(ISERROR(SEARCH("مقبول",H8)))</formula>
    </cfRule>
    <cfRule type="containsText" dxfId="6" priority="10" operator="containsText" text="راسب">
      <formula>NOT(ISERROR(SEARCH("راسب",H8)))</formula>
    </cfRule>
  </conditionalFormatting>
  <conditionalFormatting sqref="H12:H15 H17:H26 H28:H33 H35:H39 H41:H69 H71:H80 H82:H97 H99:H109">
    <cfRule type="containsText" dxfId="5" priority="38" operator="containsText" text="أدخل العلامة">
      <formula>NOT(ISERROR(SEARCH("أدخل العلامة",H12)))</formula>
    </cfRule>
    <cfRule type="containsText" dxfId="4" priority="39" operator="containsText" text="ممتاز">
      <formula>NOT(ISERROR(SEARCH("ممتاز",H12)))</formula>
    </cfRule>
    <cfRule type="containsText" dxfId="3" priority="40" operator="containsText" text="جيد جداً">
      <formula>NOT(ISERROR(SEARCH("جيد جداً",H12)))</formula>
    </cfRule>
    <cfRule type="containsText" dxfId="2" priority="41" operator="containsText" text="جيد">
      <formula>NOT(ISERROR(SEARCH("جيد",H12)))</formula>
    </cfRule>
    <cfRule type="containsText" dxfId="1" priority="42" operator="containsText" text="مقبول">
      <formula>NOT(ISERROR(SEARCH("مقبول",H12)))</formula>
    </cfRule>
    <cfRule type="containsText" dxfId="0" priority="43" operator="containsText" text="راسب">
      <formula>NOT(ISERROR(SEARCH("راسب",H12)))</formula>
    </cfRule>
  </conditionalFormatting>
  <printOptions horizontalCentered="1"/>
  <pageMargins left="0.70866141732283472" right="0.70866141732283472" top="0.74803149606299213" bottom="0.74803149606299213" header="0.31496062992125984" footer="0.31496062992125984"/>
  <pageSetup paperSize="9" scale="69" fitToHeight="0" orientation="portrait" r:id="rId1"/>
  <headerFooter>
    <oddHeader>&amp;C&amp;"-,Bold"&amp;12&amp;Uسري للغاية</oddHeader>
    <oddFooter>&amp;C&amp;"-,Bold"&amp;P&amp;"-,Regular"
&amp;"-,Bold"&amp;Uسري للغاية</oddFooter>
  </headerFooter>
  <rowBreaks count="2" manualBreakCount="2">
    <brk id="90" max="9" man="1"/>
    <brk id="112" max="9" man="1"/>
  </rowBreaks>
  <extLst>
    <ext xmlns:x14="http://schemas.microsoft.com/office/spreadsheetml/2009/9/main" uri="{CCE6A557-97BC-4b89-ADB6-D9C93CAAB3DF}">
      <x14:dataValidations xmlns:xm="http://schemas.microsoft.com/office/excel/2006/main" count="9">
        <x14:dataValidation type="list" allowBlank="1" showInputMessage="1" showErrorMessage="1" xr:uid="{39AD22F4-AC0E-4009-A1CA-39040C022149}">
          <x14:formula1>
            <xm:f>#REF!</xm:f>
          </x14:formula1>
          <xm:sqref>F2:J2</xm:sqref>
        </x14:dataValidation>
        <x14:dataValidation type="list" allowBlank="1" showInputMessage="1" showErrorMessage="1" xr:uid="{A272D648-FCB4-4132-BCDE-E6BADA2BBA96}">
          <x14:formula1>
            <xm:f>#REF!</xm:f>
          </x14:formula1>
          <xm:sqref>C2:D2</xm:sqref>
        </x14:dataValidation>
        <x14:dataValidation type="list" allowBlank="1" showInputMessage="1" showErrorMessage="1" xr:uid="{B02DBD13-A8C4-4819-9425-63F70757FE96}">
          <x14:formula1>
            <xm:f>#REF!</xm:f>
          </x14:formula1>
          <xm:sqref>F8:F10 F12:F15 F47:F51 F28:F33 F35:F39 F18:F25 F85:F91 F100:F102 F77:F80 F58:F63 F107:F109 F104:F105 F93:F97 F82 F71:F75 F66:F69 F56 F42:F44</xm:sqref>
        </x14:dataValidation>
        <x14:dataValidation type="list" allowBlank="1" showInputMessage="1" showErrorMessage="1" xr:uid="{AE50457C-7424-4A4C-907B-8DC6AA09E7A3}">
          <x14:formula1>
            <xm:f>#REF!</xm:f>
          </x14:formula1>
          <xm:sqref>G113:J113 F3:J3</xm:sqref>
        </x14:dataValidation>
        <x14:dataValidation type="list" allowBlank="1" showInputMessage="1" showErrorMessage="1" xr:uid="{74512448-CAED-4995-932E-CDA01DC3A5DC}">
          <x14:formula1>
            <xm:f>#REF!</xm:f>
          </x14:formula1>
          <xm:sqref>C3:D3</xm:sqref>
        </x14:dataValidation>
        <x14:dataValidation type="list" allowBlank="1" showInputMessage="1" showErrorMessage="1" xr:uid="{A07638DF-177B-4749-BBD9-F227B42CD9E3}">
          <x14:formula1>
            <xm:f>#REF!</xm:f>
          </x14:formula1>
          <xm:sqref>F26 F46</xm:sqref>
        </x14:dataValidation>
        <x14:dataValidation type="list" allowBlank="1" showInputMessage="1" showErrorMessage="1" xr:uid="{545AD49E-6A84-4CE1-ABD5-338C2ACC07D9}">
          <x14:formula1>
            <xm:f>#REF!</xm:f>
          </x14:formula1>
          <xm:sqref>F17</xm:sqref>
        </x14:dataValidation>
        <x14:dataValidation type="list" allowBlank="1" showInputMessage="1" showErrorMessage="1" xr:uid="{60226CD7-4FED-46B7-AD0B-219A03EA35ED}">
          <x14:formula1>
            <xm:f>#REF!</xm:f>
          </x14:formula1>
          <xm:sqref>F54</xm:sqref>
        </x14:dataValidation>
        <x14:dataValidation type="list" allowBlank="1" showInputMessage="1" showErrorMessage="1" xr:uid="{11FD8333-61DC-49A8-831E-D2E51FDAFACA}">
          <x14:formula1>
            <xm:f>#REF!</xm:f>
          </x14:formula1>
          <xm:sqref>F55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قائمة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2026-08-30T04:37:41Z</dcterms:modified>
</cp:coreProperties>
</file>