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3A6054B-349F-44D8-851B-5B44E887F6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 s="1"/>
  <c r="G28" i="2"/>
  <c r="H28" i="2"/>
  <c r="G29" i="2"/>
  <c r="H29" i="2"/>
  <c r="G30" i="2"/>
  <c r="H30" i="2"/>
  <c r="G32" i="2"/>
  <c r="H32" i="2" s="1"/>
  <c r="G33" i="2"/>
  <c r="H33" i="2" s="1"/>
  <c r="G34" i="2"/>
  <c r="H34" i="2"/>
  <c r="G35" i="2"/>
  <c r="H35" i="2" s="1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 s="1"/>
  <c r="G43" i="2"/>
  <c r="H43" i="2"/>
  <c r="G44" i="2"/>
  <c r="H44" i="2" s="1"/>
  <c r="G45" i="2"/>
  <c r="H45" i="2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4" i="2"/>
  <c r="H54" i="2"/>
  <c r="G55" i="2"/>
  <c r="H55" i="2" s="1"/>
  <c r="G56" i="2"/>
  <c r="H56" i="2"/>
  <c r="G57" i="2"/>
  <c r="H57" i="2" s="1"/>
  <c r="G58" i="2"/>
  <c r="H58" i="2" s="1"/>
  <c r="G59" i="2"/>
  <c r="H59" i="2" s="1"/>
  <c r="G60" i="2"/>
  <c r="H60" i="2"/>
  <c r="G61" i="2"/>
  <c r="H61" i="2" s="1"/>
  <c r="G62" i="2"/>
  <c r="H62" i="2"/>
  <c r="F63" i="2"/>
  <c r="E63" i="2"/>
  <c r="E64" i="2" l="1"/>
  <c r="E65" i="2" s="1"/>
</calcChain>
</file>

<file path=xl/sharedStrings.xml><?xml version="1.0" encoding="utf-8"?>
<sst xmlns="http://schemas.openxmlformats.org/spreadsheetml/2006/main" count="324" uniqueCount="243">
  <si>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</si>
  <si>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</si>
  <si>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</si>
  <si>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</si>
  <si>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</si>
  <si>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</si>
  <si>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</si>
  <si>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</si>
  <si>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</si>
  <si>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</si>
  <si>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</si>
  <si>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</si>
  <si>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</si>
  <si>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</si>
  <si>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</si>
  <si>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</si>
  <si>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</si>
  <si>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</si>
  <si>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</si>
  <si>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</si>
  <si>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</si>
  <si>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</si>
  <si>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</si>
  <si>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</si>
  <si>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</si>
  <si>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</si>
  <si>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</si>
  <si>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</si>
  <si>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</si>
  <si>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</si>
  <si>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</si>
  <si>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</si>
  <si>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</si>
  <si>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</si>
  <si>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</si>
  <si>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</si>
  <si>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</si>
  <si>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</si>
  <si>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</si>
  <si>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</si>
  <si>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</si>
  <si>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</si>
  <si>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</si>
  <si>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</si>
  <si>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</si>
  <si>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</si>
  <si>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</si>
  <si>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</si>
  <si>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</si>
  <si>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</si>
  <si>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</si>
  <si>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</si>
  <si>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</si>
  <si>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</si>
  <si>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</si>
  <si>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</si>
  <si>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</si>
  <si>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</si>
  <si>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</si>
  <si>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</si>
  <si>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</si>
  <si>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</si>
  <si>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</si>
  <si>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</si>
  <si>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</si>
  <si>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</si>
  <si>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</si>
  <si>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</si>
  <si>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</si>
  <si>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</si>
  <si>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</si>
  <si>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</si>
  <si>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</si>
  <si>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</si>
  <si>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</si>
  <si>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</si>
  <si>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</si>
  <si>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</si>
  <si>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</si>
  <si>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</si>
  <si>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</si>
  <si>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</si>
  <si>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</si>
  <si>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</si>
  <si>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</si>
  <si>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</si>
  <si>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</si>
  <si>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</si>
  <si>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</si>
  <si>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</si>
  <si>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</si>
  <si>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</si>
  <si>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</si>
  <si>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</si>
  <si>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</si>
  <si>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</si>
  <si>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</si>
  <si>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</si>
  <si>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</si>
  <si>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</si>
  <si>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</si>
  <si>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</si>
  <si>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</si>
  <si>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</si>
  <si>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</si>
  <si>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</si>
  <si>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</si>
  <si>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</si>
  <si>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</si>
  <si>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</si>
  <si>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</si>
  <si>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</si>
  <si>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</si>
  <si>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</si>
  <si>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</si>
  <si>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</si>
  <si>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</si>
  <si>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</si>
  <si>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</si>
  <si>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</si>
  <si>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</si>
  <si>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</si>
  <si>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</si>
  <si>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</si>
  <si>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</si>
  <si>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</si>
  <si>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</si>
  <si>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</si>
  <si>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</si>
  <si>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</si>
  <si>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</si>
  <si>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</si>
  <si>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</si>
  <si>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</si>
  <si>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</si>
  <si>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</si>
  <si>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</si>
  <si>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</si>
  <si>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</si>
  <si>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</si>
  <si>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</si>
  <si>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</si>
  <si>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</si>
  <si>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</si>
  <si>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</si>
  <si>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</si>
  <si>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</si>
  <si>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</si>
  <si>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</si>
  <si>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</si>
  <si>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</si>
  <si>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</si>
  <si>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</si>
  <si>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</si>
  <si>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</si>
  <si>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</si>
  <si>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</si>
  <si>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</si>
  <si>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</si>
  <si>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</si>
  <si>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</si>
  <si>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</si>
  <si>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</si>
  <si>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</si>
  <si>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</si>
  <si>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</si>
  <si>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</si>
  <si>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</si>
  <si>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</si>
  <si>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</si>
  <si>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</si>
  <si>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</si>
  <si>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</si>
  <si>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</si>
  <si>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</si>
  <si>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</si>
  <si>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</si>
  <si>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</si>
  <si>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</si>
  <si>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</si>
  <si>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الجاهزية القتالية لفصيل الشرطة العسكرية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</si>
  <si>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إجراءات القائد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</si>
  <si>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استلام المهمة وتفهم القائد للمطلوب في الوقت المحدد.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</si>
  <si>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الرد بالاعتراف على برقية رفع الحالة حسب الوقت المحدد.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</si>
  <si>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الكشف من الخارطة.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</si>
  <si>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إنذار المستوى الأدنى.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</si>
  <si>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تفهم المرؤوسين للواجب.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</si>
  <si>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تسجيل برقية رفع الحالة في سجل الحوادث.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</si>
  <si>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عمل تقدير موقف للوقت.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</si>
  <si>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عمل تقدير موقف ذهني وسريع من قبل القائد.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</si>
  <si>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التقيد بالتوقيتات المبينة في الخطة الزمنية.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</si>
  <si>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التأكد من إجراءات التحميل / تعبئة الذخيرة (التقيد باحتياطات الأمان ومخطط التحميل).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</si>
  <si>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التأكد من استلام المهمات الكيميائية.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</si>
  <si>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التأكد من تعبئة وتحميل الوقود والمياه.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</si>
  <si>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التأكد من تحميل الأرزاق لـ (48) ساعة.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</si>
  <si>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التأكد من تحميل المهمات الإدارية والهندسية.</t>
    </r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</si>
  <si>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التأكد من تركيب الأسلحة والأجهزة واختبارها.</t>
    </r>
  </si>
  <si>
    <t xml:space="preserve">جاهزية الفصيل 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</si>
  <si>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اصطفاف القوة بالميدان في الوقت المحدد.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</si>
  <si>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جاهزية الضباط والأفراد من حيث (السلاح وملحقاته ، حقائب الكتف ، القلادة المعدنية ، البطاقة ، رخصة السواقة ، حقيبة الميدان ، مفكرة الميدان للضباط).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</si>
  <si>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وإدامة سجلات استلام الذخائر.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</si>
  <si>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جاهزية الآليات من حيث ( الوقود ، المياه ، العدة ، سجل الآلية ، وتحميل شباك التمويه مع العصي، إلخ... ).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</si>
  <si>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نسبة استكمال الأسلحة والمعدات.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</si>
  <si>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التأكد من نسبة استكمال القوة البشرية.</t>
    </r>
  </si>
  <si>
    <t>فـرش المتاع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</si>
  <si>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عدد ( 1 ) بدله مموهة.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</si>
  <si>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خـوذه.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</si>
  <si>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فوطه.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</si>
  <si>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جراب.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</si>
  <si>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ملابس داخلية فانيله.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</si>
  <si>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ملابس رياضة ( شورت ، حذاء ، فأنله ).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</si>
  <si>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أدوات الطعام.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</si>
  <si>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أدوات خياطة.</t>
    </r>
  </si>
  <si>
    <r>
      <t>9.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أدوات حلاقة + معجون وفرشاة أسنان.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</si>
  <si>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كيس النوم.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</si>
  <si>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لباس مدني.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</si>
  <si>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شماغ ( عسكري / مدني ).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</si>
  <si>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مشمع أرضي.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</si>
  <si>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ترتيب ونظافة محتويات الحقيبة.</t>
    </r>
  </si>
  <si>
    <r>
      <t>اختبار المعلومات العسكرية للمرتب في</t>
    </r>
    <r>
      <rPr>
        <b/>
        <sz val="12"/>
        <color rgb="FF000000"/>
        <rFont val="Arial"/>
        <family val="2"/>
      </rPr>
      <t xml:space="preserve"> :</t>
    </r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</si>
  <si>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الأسلحة وخصائصها الفنية ومسمياتها.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</si>
  <si>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الذخائر ( الخطوط ، الوحدة الحسابية ).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</si>
  <si>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الهيكل التنظيمي للوحدة تحت التقييم.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</si>
  <si>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أمن الأفراد والمعسكرات والمنشآت.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</si>
  <si>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التخصصات المهنية.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</si>
  <si>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حالات الاستعداد القتالي.</t>
    </r>
  </si>
  <si>
    <t>صندوق الوثائق</t>
  </si>
  <si>
    <r>
      <t>1.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صندوق لحفظ الوثائق والقرطاسية اللازمة.</t>
    </r>
  </si>
  <si>
    <r>
      <t>2.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الخرائط والخطط الضرورية.</t>
    </r>
  </si>
  <si>
    <r>
      <t>3.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توفر وصلاحية وسائل الاتصالات الإشارية.</t>
    </r>
  </si>
  <si>
    <r>
      <t>4.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فهرس بمحتويات الصندوق ومطابقته مع الموجود.</t>
    </r>
  </si>
  <si>
    <r>
      <t>5.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الأوامر الثابتة لقيادته.</t>
    </r>
  </si>
  <si>
    <r>
      <t>6.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نموذج برقيــات.</t>
    </r>
  </si>
  <si>
    <r>
      <t>7.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كشف بأرقام الهواتف الهامة ( عسكرية ، مدنية).</t>
    </r>
  </si>
  <si>
    <r>
      <t>8.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وجود وإدامة سجل الوارد والصادر.</t>
    </r>
  </si>
  <si>
    <t>مدى كفاءة القائد القيادية والذهنية.</t>
  </si>
  <si>
    <t xml:space="preserve">        مقدم / سلطان سعيد سالم المزروعي </t>
  </si>
  <si>
    <t>عدم وجود مياه وشباك التمويه</t>
  </si>
  <si>
    <t>عدم اكتمال الاسلحةالمعدات الموجود 7</t>
  </si>
  <si>
    <t xml:space="preserve"> عدم اكتمال القوة الموجود 7 </t>
  </si>
  <si>
    <t xml:space="preserve"> عدم وجود خوذ عند بعض المرتب </t>
  </si>
  <si>
    <t xml:space="preserve">عدم وجود مفكرة الضابط </t>
  </si>
  <si>
    <t>ملازم/ علي ابراهيم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</si>
</sst>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9" fontId="3" fillId="0" borderId="16" xfId="0" applyNumberFormat="1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9" fontId="3" fillId="0" borderId="23" xfId="0" applyNumberFormat="1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1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5" xfId="0" applyFont="1" applyBorder="1" applyAlignment="1">
      <alignment horizontal="right" vertical="center" wrapText="1" readingOrder="2"/>
    </xf>
    <xf numFmtId="0" fontId="1" fillId="0" borderId="16" xfId="0" applyFont="1" applyBorder="1" applyAlignment="1">
      <alignment horizontal="right" vertical="center" wrapText="1" readingOrder="2"/>
    </xf>
    <xf numFmtId="0" fontId="12" fillId="0" borderId="22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18" xfId="0" applyFont="1" applyBorder="1" applyAlignment="1">
      <alignment horizontal="right" vertical="center" wrapText="1" readingOrder="2"/>
    </xf>
    <xf numFmtId="0" fontId="12" fillId="0" borderId="14" xfId="0" applyFont="1" applyBorder="1" applyAlignment="1">
      <alignment horizontal="right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372601</xdr:colOff>
      <xdr:row>66</xdr:row>
      <xdr:rowOff>200267</xdr:rowOff>
    </xdr:from>
    <xdr:to>
      <xdr:col>7</xdr:col>
      <xdr:colOff>547191</xdr:colOff>
      <xdr:row>66</xdr:row>
      <xdr:rowOff>475307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89B6BD6-953E-6625-668B-FB429718E38B}"/>
                </a:ext>
              </a:extLst>
            </xdr14:cNvPr>
            <xdr14:cNvContentPartPr/>
          </xdr14:nvContentPartPr>
          <xdr14:nvPr macro=""/>
          <xdr14:xfrm>
            <a:off x="10399355809" y="26114040"/>
            <a:ext cx="832680" cy="275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89B6BD6-953E-6625-668B-FB429718E38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349689" y="26107920"/>
              <a:ext cx="844920" cy="28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314631</xdr:colOff>
      <xdr:row>65</xdr:row>
      <xdr:rowOff>511758</xdr:rowOff>
    </xdr:from>
    <xdr:to>
      <xdr:col>7</xdr:col>
      <xdr:colOff>528111</xdr:colOff>
      <xdr:row>66</xdr:row>
      <xdr:rowOff>337067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DA0423A-B15F-30A1-4C3B-0DE68F6BC64A}"/>
                </a:ext>
              </a:extLst>
            </xdr14:cNvPr>
            <xdr14:cNvContentPartPr/>
          </xdr14:nvContentPartPr>
          <xdr14:nvPr macro=""/>
          <xdr14:xfrm>
            <a:off x="10399374889" y="25894440"/>
            <a:ext cx="213480" cy="356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DA0423A-B15F-30A1-4C3B-0DE68F6BC64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368769" y="25888320"/>
              <a:ext cx="225720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638631</xdr:colOff>
      <xdr:row>66</xdr:row>
      <xdr:rowOff>174347</xdr:rowOff>
    </xdr:from>
    <xdr:to>
      <xdr:col>8</xdr:col>
      <xdr:colOff>178180</xdr:colOff>
      <xdr:row>66</xdr:row>
      <xdr:rowOff>387107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87F441E-E8E6-353F-D038-D7F71AA42605}"/>
                </a:ext>
              </a:extLst>
            </xdr14:cNvPr>
            <xdr14:cNvContentPartPr/>
          </xdr14:nvContentPartPr>
          <xdr14:nvPr macro=""/>
          <xdr14:xfrm>
            <a:off x="10399066729" y="26088120"/>
            <a:ext cx="197640" cy="212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87F441E-E8E6-353F-D038-D7F71AA4260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060609" y="26082000"/>
              <a:ext cx="2098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243001</xdr:colOff>
      <xdr:row>65</xdr:row>
      <xdr:rowOff>458838</xdr:rowOff>
    </xdr:from>
    <xdr:to>
      <xdr:col>8</xdr:col>
      <xdr:colOff>532420</xdr:colOff>
      <xdr:row>66</xdr:row>
      <xdr:rowOff>546947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6CB6CD0-354E-886C-54A0-76F7E441B9DE}"/>
                </a:ext>
              </a:extLst>
            </xdr14:cNvPr>
            <xdr14:cNvContentPartPr/>
          </xdr14:nvContentPartPr>
          <xdr14:nvPr macro=""/>
          <xdr14:xfrm>
            <a:off x="10398712489" y="25841520"/>
            <a:ext cx="1605600" cy="6192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6CB6CD0-354E-886C-54A0-76F7E441B9D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706369" y="25835400"/>
              <a:ext cx="1617840" cy="63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9:35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2074 401 7681,'0'0'0,"0"-4"2905,3-2-609,1-7-599,-4 13-1697,3-3 1656,-1 0-248,3-1-408,0 0-407,-5 4-593,12-4 496,-12-1-96,4 3 24,10-3-40,-14 5-384,2-3 192,1 1 0,2 0-32,0-1 32,-5 3-192,4-1 160,-1 0-56,1 1-96,-2 0-32,-2 0 24,5 0 40,0 0-56,-3 0 8,0 2 56,-2-2-48,5 5-8,0-1 72,0 7 16,7-8-80,-12-3 0,1 4-16,11 11-48,-7-11 104,7 12-56,-12-16 16,0 11-24,12 2 64,-10 1-144,5 0 48,-7-14 56,2 16 40,1-1-184,1 2 144,-1 2 16,-3-19-16,2 17-104,-2 1 152,0 1-136,-2-1 48,2-18 40,-5 17 64,0-1-24,0 0 0,1-1-32,4-15-8,-11 13-48,8 0 112,-9-2 24,5-6-72,7-5-16,-16 14 16,2-11-16,2 8-40,-4-8 64,16-3-24,-17 4 64,-5 8-88,6-10 64,-8 1 24,24-3-64,-20 4 16,0 1 8,-3-2 40,7-3-112,16 0 48,-16 2 24,-3-2 32,4 0-24,-6 0 64,21 0-96,-12 0 136,0-1 32,-1-3-32,1-1 48,12 5-184,-7-5 120,-8-1-64,9-7 40,-8 9 0,14 4-96,-5-11 129,-7 5-41,6-8-24,3 2-64,3 12 0,-5-14 56,-2 0 40,5 0 0,-5-2-32,7 16-64,-13-16 72,13 1-112,-2-1 24,2 2-8,0 14 24,-2-14-56,-1 1 56,3 7 24,-1-8 104,1 14-128,-3-6 80,3-5 72,0 7-88,0-1-32,0 5-32,0-4 0,0 0-32,0 0 64,3-1-24,-3 5-8,1-2 72,-1 0-40,0 1-32,0-1 80,0 2-80,5 0 0,-5 0-40,0 0 24,-2 0-152,2 0 168,-3 3-136,-8 9 56,4-10 40,-12 11 40,19-13 0,-16 12 0,-3-1 8,3-7 24,-6 13-32,22-17 0,-17 5 56,-1 7-56,4-9 56,-1 1-8,15-4-48,-11 5 0,6-2 0,-9-1-24,12-2 80,2 0-56,-3 0-96,-2 0 152,2 0-56,-2 0-72,5 0 72,-10 0 80,5-1-120,-7-3 0,7-1 24,5 5 16,-4-4 48,-10 0-64,9 0 0,-4-1 48,9 5-32,-3-1-48,-1-2 8,-7 2 16,11-1 24,0 2 0,-15-1 0,10-1-16,-4 2-8,4 0 64,5 0-40,-14 0-96,5 0 80,-6 0-8,0 0-48,15 0 72,-17 0 0,-2 3 0,5-3 16,-5 3-112,19-3 96,-12 0 40,-2 0-40,10 0 0,-8 0 40,12 0-40,-5-3 32,-7-1 48,12-9 0,-4 2 72,4 11-152,0-16-16,0-2-40,0-6 32,2-5-184,-2 29 208,2-30-8,3-4 8,-1-3-56,1-3 152,-5 40-96,5-41-40,5 1 8,-10 3-32,2 3 32,-2 34 32,2-30-24,3 3-8,-2 5 64,-3 3-72,0 19 40,1-14 8,1 8 24,-2 1 32,3 0 24,-3 5-88,0-3 96,0 2-88,0 1-32,0 0 24,0 3-136,5 11 80,-3 0 0,0 8 0,-2-22 56,0 27 32,0 3-48,0 4-8,-2 1-32,2-35 56,-5 36-32,-6 2 24,6-1 16,-9-3-32,14-34 24,-12 31-24,1-5-8,-6 0 32,-2-4 56,19-22-56,-21 22 40,-5-4 0,-2-1 0,-7 0 32,35-17-72,-35 16 56,-5-2 48,2 2-16,-5-2-24,43-14-64,-40 13 56,-5-2 24,-1-7 32,5 9-16,41-13-96,-44 3 80,4 1 8,2-1-72,3 0-32,35-3 16,-30 0 120,-1 0-160,5-3 96,3-3 128,23 6-184,-24-14 16,1 3 152,1-5-48,4-1-64,18 17-56,-17-18 56,5-2 88,8-2-176,-7 0-8,11 22 40,-3-26-136,1-2-160,-1 1-136,3-2-144,0 29 576,14-32-561,3 0-151,7 1 272,1 0 64,-25 31 376,30-24-392,3 2 304,-4 5-32,-1 4 80,-28 13 40,30-5 0,-4-1-72,0 2 32,0 2 0,-26 2 40,21 0-24,1 0 40,-4 5 32,-1 7-8,-17-12-40,12 12 152,-10-1-64,4 3 48,-3 1 32,-3-15-168,5 18 152,-5 3-8,0 2 0,0 1-8,0-24-136,-5 23 208,-4 0-48,4-2-16,-14-1 32,19-20-176,-12 20 56,-1-2 144,-2-1-24,1-2 17,14-15-193,-18 12 136,1-7 120,-6 9-128,-4-10 104,27-4-232,-28 14 304,-2-11-184,-1 9-48,-7-10-16,38-2-56,-37 5 40,2-1-40,-3 0 168,6-1-112,32-3-56,-39 0-56,2 0 72,-1 0 0,1-1-112,37 1 96,-33-5-376,0 1-520,4 0-937,2 0-2112,27 4 3945,-27-12-5145,2 7-3873,25 5 9018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9:36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366 61 22044,'0'0'0,"31"-15"1361,-31 15-1361,32-13 120,4-3 152,-7 12 40,-12-9 72,-17 13-384,14 0 392,-2 0-168,0 4-96,0 15-112,-12-19-16,2 17 40,10 4 16,-7 6 24,0 3-24,-5-30-56,3 34 48,-3 2-48,0 2 0,0 2 16,0-40-16,2 41-64,-2 2 0,0 2-232,0-1-584,0-44 880,0 47-2009,0 0-4000,2-4-4737,-2-43 10746</inkml:trace>
  <inkml:trace contextRef="#ctx0" brushRef="#br0" timeOffset="1">275 990 10914,'0'0'0,"-5"-2"3273,-5 1-2985,-4-2-152,14 3-136,-14-3 240,-6-1 104,-1 0 8,-3-1-32,24 5-320,-20-4 232,-1 0-40,1-1 16,6 0 32,14 5-240,-14-12 368,-1 8 216,6-7 232,1 7 233,8 4-1049,-12-16 1056,10 5-8,-5-4-112,2 1-160,5 14-776,-5-17 809,0-1-145,3-2-8,-1-2-104,3 22-552,-2-25 464,0-4 8,2-2-48,0-6 120,0 37-544,0-40 313,4-1-17,1-3 8,-2-2-32,-3 46-272,12-46 304,-10-1-96,10 1-128,-7 2-64,-5 44-16,14-40 16,-9 3 8,10 6-8,-13 5-120,-2 26 104,2-19 72,1 4-72,-3 10 0,0-1-120,0 6 120,0-1-560,0 1-593,0 0-919,-5 18-1345,5-18 3417,-12 17-6553,-7 9-4153,19-26 10706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9:3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475 363 20684,'0'0'0,"0"-1"864,0 0-736,2-1 0,-2 2-128,5 0 144,-1 3 80,-1 8-80,-1-6 8,-2-5-152,4 17 272,-4-6-16,0 2-16,0 0-7,0-13-233,0 14 272,-3 0-8,0 2 64,-9-1-24,12-15-304,-6 16 208,-10-2-24,4-1-16,-4 0 56,16-13-224,-15 11 64,0 1 168,-2-8-8,4 7-40,13-11-184,-20 3 272,3 0-96,-3-3 0,3 0-16,17 0-160,-20 0 144,1-2 32,-2-2-104,1-1-32,20 5-40,-22-12 72,5 6-88,-3-8 184,3 3-160,17 11-8,-17-14 64,-5-1 40,9 0-208,-3 1 264,16 14-160,-10-17-72,5-1 8,-8 3-152,7-4-312,6 19 528,-11-21-760,9 1-720,-2-1-1073,-9 1-3304,13 20 5857,-5-24-10770,5 24 10770</inkml:trace>
  <inkml:trace contextRef="#ctx0" brushRef="#br0" timeOffset="1">298 91 26933,'0'0'0,"17"-15"896,-8 10-784,3-12 25,-12 17-137,14-5-17,-14-6 170,4 7-394,0-8 362,-4 12-121,0-3 88,0-2-192,-4 1 224,-7-2-801,11 6 681,-13-3-1128,-2 3-1312,-2 0-3858,14 0 457,3 0 5841,-24 11-8762,24-11 8762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29:38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517 1171 15171,'0'0'0,"-3"0"856,-8-1-704,11 1-152,-7-1 344,-10-1 16,1 1 104,-3-1-104,19 2-360,-16-1 312,-3 0-48,-2-1-112,2 1 16,19 1-168,-19-2 113,-4-1-65,5 2 72,-2 0-48,20 1-72,-21-2 208,-2 1 16,4-1 80,-2 1 32,21 1-336,-21-2 368,0 1 8,4 1-88,-2-1-64,19 1-224,-14 0 160,-4 0-48,6 0 8,-3 0 0,15 0-120,-8 0 88,3 0 48,-10 0-88,11 0-24,4 0-24,-12 0 56,10 0 0,-5 0 16,2 0 24,5 0-96,-2-2 80,-3 2-16,5 0 80,-2 0 16,2 0-160,0 0 288,0 0 89,2-1-121,10-1 32,-12 2-288,13-1 72,7-2-24,10-1 64,7-2-80,-37 6-32,50-6 104,11-5-104,14 7-24,33-9-104,-108 13 128,195-16-96,7 5 32,-1 7-16,-36 1 160,-165 3-80,176 0 0,13 3 16,-4 10 80,4-1-96,-189-12 0,189 17 48,3-1-32,-8 2-40,1 2 64,-185-20-40,176 19 0,-9 0 16,2-2-88,-14-2 88,-155-15-16,145 12-16,-11-7 56,-14 9 16,-12-14-112,-108 0 56,98 4 56,-6-1-96,-14-3 96,-14 0 8,-64 0-64,53 0 16,-11-3 96,-11-3 0,-5-5-48,-26 11-64,16-4 144,-4-2-32,-10-5-88,3 7 48,-5 4-72,0-6-40,-2-7-32,-3 9-24,-7-10 8,12 14 88,-14-4-24,0-9-8,-2 9-8,-3-8 0,19 12 40,-23-3-56,4-1 0,-5 0 72,-2 1-48,26 3 32,-25-1-40,-6-1 0,-2 1 16,-5 1 24,38 0 0,-40 0 0,-7-2-16,-4 1-16,-6 1 8,57 0 24,-62-1-56,-14-4 32,-2 1-48,-13-7 128,91 11-56,-101-5 0,-4-10 24,-4 2 32,-1-3-80,110 16 24,-106-17 40,-2 0 0,0 3-8,2 0 8,106 14-40,-98-14 40,6-2 16,10 1 40,5-1 40,77 16-136,-62-14 112,7 0 16,5-1-16,15 0-72,35 15-40,-31-19 200,8-1-72,6-1 40,15-3 16,2 24-184,-2-27 216,2-7-16,16-3-56,8-5-64,-24 42-80,28-47 32,4-3 0,8-4 8,0 0 64,-40 54-104,45-52 0,-3-2-48,1 2 80,-1 0-48,-42 52 16,40-49-32,-3 3 120,1 4-88,-8 9 32,-30 33-32,29-27 16,-1 7-48,-3 8 16,-1 7 0,-24 5 16,26-1-8,-2 1-8,6 15 72,-5 4-24,-25-19-32,36 26 24,0 5-8,-6 7 0,3 3-16,-33-41 0,27 45 56,0 5 120,-4 4 56,-1 10 104,-22-64-336,13 71 368,-1 6-87,-7 5-97,0 3-40,-5-85-144,2 86 16,3 2 0,1-1 32,-4-2-80,-2-85 32,3 80-16,2-7 0,-5-8-16,0-3 8,0-62 24,0 56 0,0-2-32,0-3 32,0-4-384,0-47 384,0 44-577,-3-3-887,-10 2-1881,10-9-3464,3-34 6809,-12 32-10986,12-32 10986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7"/>
  <sheetViews>
    <sheetView rightToLeft="1" tabSelected="1" view="pageBreakPreview" topLeftCell="A58" zoomScale="130" zoomScaleNormal="100" zoomScaleSheetLayoutView="130" workbookViewId="0">
      <selection activeCell="F44" sqref="F4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1" t="s">
        <v>180</v>
      </c>
      <c r="C1" s="51"/>
      <c r="D1" s="51"/>
      <c r="E1" s="51"/>
      <c r="F1" s="51"/>
      <c r="G1" s="51"/>
      <c r="H1" s="51"/>
      <c r="I1" s="51"/>
      <c r="J1" s="51"/>
    </row>
    <row r="2" spans="1:10" ht="30" customHeight="1" x14ac:dyDescent="0.3">
      <c r="B2" s="12" t="s">
        <v>8</v>
      </c>
      <c r="C2" s="57" t="s">
        <v>16</v>
      </c>
      <c r="D2" s="57"/>
      <c r="E2" s="12" t="s">
        <v>7</v>
      </c>
      <c r="F2" s="52">
        <v>45929</v>
      </c>
      <c r="G2" s="52"/>
      <c r="H2" s="52"/>
      <c r="I2" s="52"/>
      <c r="J2" s="52"/>
    </row>
    <row r="3" spans="1:10" ht="30" customHeight="1" x14ac:dyDescent="0.3">
      <c r="B3" s="12" t="s">
        <v>9</v>
      </c>
      <c r="C3" s="57" t="s">
        <v>60</v>
      </c>
      <c r="D3" s="57"/>
      <c r="E3" s="12" t="s">
        <v>6</v>
      </c>
      <c r="F3" s="57" t="s">
        <v>59</v>
      </c>
      <c r="G3" s="57"/>
      <c r="H3" s="57"/>
      <c r="I3" s="57"/>
      <c r="J3" s="57"/>
    </row>
    <row r="4" spans="1:10" ht="30" customHeight="1" thickBot="1" x14ac:dyDescent="0.35">
      <c r="B4" s="6"/>
      <c r="C4" s="7"/>
      <c r="D4" s="7" t="s">
        <v>242</v>
      </c>
      <c r="E4" s="6"/>
      <c r="F4" s="7"/>
      <c r="G4" s="43" t="s">
        <v>236</v>
      </c>
      <c r="H4" s="8"/>
      <c r="I4" s="7"/>
      <c r="J4" s="7"/>
    </row>
    <row r="5" spans="1:10" ht="24.9" customHeight="1" x14ac:dyDescent="0.3">
      <c r="A5" s="10"/>
      <c r="B5" s="53" t="s">
        <v>0</v>
      </c>
      <c r="C5" s="54"/>
      <c r="D5" s="54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10"/>
      <c r="B6" s="55"/>
      <c r="C6" s="56"/>
      <c r="D6" s="56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" customHeight="1" thickBot="1" x14ac:dyDescent="0.35">
      <c r="A7" s="10"/>
      <c r="B7" s="60" t="s">
        <v>21</v>
      </c>
      <c r="C7" s="61"/>
      <c r="D7" s="61"/>
      <c r="E7" s="28" t="s">
        <v>18</v>
      </c>
      <c r="F7" s="28" t="s">
        <v>19</v>
      </c>
      <c r="G7" s="28" t="s">
        <v>22</v>
      </c>
      <c r="H7" s="28" t="s">
        <v>20</v>
      </c>
      <c r="I7" s="70" t="s">
        <v>25</v>
      </c>
      <c r="J7" s="71"/>
    </row>
    <row r="8" spans="1:10" ht="30" customHeight="1" x14ac:dyDescent="0.3">
      <c r="A8" s="10"/>
      <c r="B8" s="84" t="s">
        <v>181</v>
      </c>
      <c r="C8" s="85"/>
      <c r="D8" s="85"/>
      <c r="E8" s="31"/>
      <c r="F8" s="32"/>
      <c r="G8" s="33"/>
      <c r="H8" s="34"/>
      <c r="I8" s="64"/>
      <c r="J8" s="65"/>
    </row>
    <row r="9" spans="1:10" ht="30" customHeight="1" x14ac:dyDescent="0.3">
      <c r="A9" s="10"/>
      <c r="B9" s="86" t="s">
        <v>182</v>
      </c>
      <c r="C9" s="87"/>
      <c r="D9" s="87"/>
      <c r="E9" s="35">
        <v>0</v>
      </c>
      <c r="F9" s="36" t="s">
        <v>17</v>
      </c>
      <c r="G9" s="37" t="str">
        <f>IFERROR(F9/E9,"")</f>
        <v/>
      </c>
      <c r="H9" s="38" t="str">
        <f>_xlfn.IFS(F9="أدخل العلامة","",F9="لا ينطبق","تم الإلغاء",G9&gt;=90%,"ممتاز",G9&gt;=80%,"جيد جداً",G9&gt;=70%,"جيد",G9&gt;=60%,"مقبول",G9&lt;60%,"راسب")</f>
        <v>تم الإلغاء</v>
      </c>
      <c r="I9" s="49"/>
      <c r="J9" s="50"/>
    </row>
    <row r="10" spans="1:10" ht="30" customHeight="1" x14ac:dyDescent="0.3">
      <c r="A10" s="10"/>
      <c r="B10" s="86" t="s">
        <v>183</v>
      </c>
      <c r="C10" s="87"/>
      <c r="D10" s="87"/>
      <c r="E10" s="35">
        <v>0</v>
      </c>
      <c r="F10" s="36" t="s">
        <v>17</v>
      </c>
      <c r="G10" s="37" t="str">
        <f t="shared" ref="G10:G62" si="0">IFERROR(F10/E10,"")</f>
        <v/>
      </c>
      <c r="H10" s="38" t="str">
        <f t="shared" ref="H10:H62" si="1">_xlfn.IFS(F10="أدخل العلامة","",F10="لا ينطبق","تم الإلغاء",G10&gt;=90%,"ممتاز",G10&gt;=80%,"جيد جداً",G10&gt;=70%,"جيد",G10&gt;=60%,"مقبول",G10&lt;60%,"راسب")</f>
        <v>تم الإلغاء</v>
      </c>
      <c r="I10" s="49"/>
      <c r="J10" s="50"/>
    </row>
    <row r="11" spans="1:10" ht="30" customHeight="1" x14ac:dyDescent="0.3">
      <c r="A11" s="10"/>
      <c r="B11" s="86" t="s">
        <v>184</v>
      </c>
      <c r="C11" s="87"/>
      <c r="D11" s="87"/>
      <c r="E11" s="35">
        <v>0</v>
      </c>
      <c r="F11" s="36" t="s">
        <v>17</v>
      </c>
      <c r="G11" s="37" t="str">
        <f t="shared" si="0"/>
        <v/>
      </c>
      <c r="H11" s="38" t="str">
        <f t="shared" si="1"/>
        <v>تم الإلغاء</v>
      </c>
      <c r="I11" s="49"/>
      <c r="J11" s="50"/>
    </row>
    <row r="12" spans="1:10" ht="30" customHeight="1" x14ac:dyDescent="0.3">
      <c r="A12" s="10"/>
      <c r="B12" s="86" t="s">
        <v>185</v>
      </c>
      <c r="C12" s="87"/>
      <c r="D12" s="87"/>
      <c r="E12" s="35">
        <v>0</v>
      </c>
      <c r="F12" s="36" t="s">
        <v>17</v>
      </c>
      <c r="G12" s="37" t="str">
        <f t="shared" si="0"/>
        <v/>
      </c>
      <c r="H12" s="38" t="str">
        <f t="shared" si="1"/>
        <v>تم الإلغاء</v>
      </c>
      <c r="I12" s="49"/>
      <c r="J12" s="50"/>
    </row>
    <row r="13" spans="1:10" ht="30" customHeight="1" x14ac:dyDescent="0.3">
      <c r="A13" s="10"/>
      <c r="B13" s="86" t="s">
        <v>186</v>
      </c>
      <c r="C13" s="87"/>
      <c r="D13" s="87"/>
      <c r="E13" s="35">
        <v>0</v>
      </c>
      <c r="F13" s="36" t="s">
        <v>17</v>
      </c>
      <c r="G13" s="37" t="str">
        <f t="shared" si="0"/>
        <v/>
      </c>
      <c r="H13" s="38" t="str">
        <f t="shared" si="1"/>
        <v>تم الإلغاء</v>
      </c>
      <c r="I13" s="49"/>
      <c r="J13" s="50"/>
    </row>
    <row r="14" spans="1:10" ht="30" customHeight="1" x14ac:dyDescent="0.3">
      <c r="A14" s="10"/>
      <c r="B14" s="86" t="s">
        <v>187</v>
      </c>
      <c r="C14" s="87"/>
      <c r="D14" s="87"/>
      <c r="E14" s="35">
        <v>0</v>
      </c>
      <c r="F14" s="36" t="s">
        <v>17</v>
      </c>
      <c r="G14" s="37" t="str">
        <f t="shared" si="0"/>
        <v/>
      </c>
      <c r="H14" s="38" t="str">
        <f t="shared" si="1"/>
        <v>تم الإلغاء</v>
      </c>
      <c r="I14" s="49"/>
      <c r="J14" s="50"/>
    </row>
    <row r="15" spans="1:10" ht="30" customHeight="1" x14ac:dyDescent="0.3">
      <c r="A15" s="10"/>
      <c r="B15" s="86" t="s">
        <v>188</v>
      </c>
      <c r="C15" s="87"/>
      <c r="D15" s="87"/>
      <c r="E15" s="35">
        <v>0</v>
      </c>
      <c r="F15" s="36" t="s">
        <v>17</v>
      </c>
      <c r="G15" s="37" t="str">
        <f t="shared" si="0"/>
        <v/>
      </c>
      <c r="H15" s="38" t="str">
        <f t="shared" si="1"/>
        <v>تم الإلغاء</v>
      </c>
      <c r="I15" s="49"/>
      <c r="J15" s="50"/>
    </row>
    <row r="16" spans="1:10" ht="30" customHeight="1" x14ac:dyDescent="0.3">
      <c r="A16" s="10"/>
      <c r="B16" s="86" t="s">
        <v>189</v>
      </c>
      <c r="C16" s="87"/>
      <c r="D16" s="87"/>
      <c r="E16" s="35">
        <v>0</v>
      </c>
      <c r="F16" s="36" t="s">
        <v>17</v>
      </c>
      <c r="G16" s="37" t="str">
        <f t="shared" si="0"/>
        <v/>
      </c>
      <c r="H16" s="38" t="str">
        <f t="shared" si="1"/>
        <v>تم الإلغاء</v>
      </c>
      <c r="I16" s="49"/>
      <c r="J16" s="50"/>
    </row>
    <row r="17" spans="1:10" ht="30" customHeight="1" x14ac:dyDescent="0.3">
      <c r="A17" s="10"/>
      <c r="B17" s="86" t="s">
        <v>190</v>
      </c>
      <c r="C17" s="87"/>
      <c r="D17" s="87"/>
      <c r="E17" s="35">
        <v>0</v>
      </c>
      <c r="F17" s="36" t="s">
        <v>17</v>
      </c>
      <c r="G17" s="37" t="str">
        <f t="shared" si="0"/>
        <v/>
      </c>
      <c r="H17" s="38" t="str">
        <f t="shared" si="1"/>
        <v>تم الإلغاء</v>
      </c>
      <c r="I17" s="49"/>
      <c r="J17" s="50"/>
    </row>
    <row r="18" spans="1:10" ht="39.9" customHeight="1" x14ac:dyDescent="0.3">
      <c r="A18" s="10"/>
      <c r="B18" s="86" t="s">
        <v>191</v>
      </c>
      <c r="C18" s="87"/>
      <c r="D18" s="87"/>
      <c r="E18" s="35">
        <v>0</v>
      </c>
      <c r="F18" s="36" t="s">
        <v>17</v>
      </c>
      <c r="G18" s="37" t="str">
        <f t="shared" si="0"/>
        <v/>
      </c>
      <c r="H18" s="38" t="str">
        <f t="shared" si="1"/>
        <v>تم الإلغاء</v>
      </c>
      <c r="I18" s="49"/>
      <c r="J18" s="50"/>
    </row>
    <row r="19" spans="1:10" ht="30" customHeight="1" x14ac:dyDescent="0.3">
      <c r="A19" s="10"/>
      <c r="B19" s="86" t="s">
        <v>192</v>
      </c>
      <c r="C19" s="87"/>
      <c r="D19" s="87"/>
      <c r="E19" s="35">
        <v>0</v>
      </c>
      <c r="F19" s="36" t="s">
        <v>17</v>
      </c>
      <c r="G19" s="37" t="str">
        <f t="shared" si="0"/>
        <v/>
      </c>
      <c r="H19" s="38" t="str">
        <f t="shared" si="1"/>
        <v>تم الإلغاء</v>
      </c>
      <c r="I19" s="49"/>
      <c r="J19" s="50"/>
    </row>
    <row r="20" spans="1:10" ht="30" customHeight="1" x14ac:dyDescent="0.3">
      <c r="A20" s="10"/>
      <c r="B20" s="86" t="s">
        <v>193</v>
      </c>
      <c r="C20" s="87"/>
      <c r="D20" s="87"/>
      <c r="E20" s="35">
        <v>0</v>
      </c>
      <c r="F20" s="36" t="s">
        <v>17</v>
      </c>
      <c r="G20" s="37" t="str">
        <f t="shared" si="0"/>
        <v/>
      </c>
      <c r="H20" s="38" t="str">
        <f t="shared" si="1"/>
        <v>تم الإلغاء</v>
      </c>
      <c r="I20" s="49"/>
      <c r="J20" s="50"/>
    </row>
    <row r="21" spans="1:10" ht="30" customHeight="1" x14ac:dyDescent="0.3">
      <c r="A21" s="10"/>
      <c r="B21" s="86" t="s">
        <v>194</v>
      </c>
      <c r="C21" s="87"/>
      <c r="D21" s="87"/>
      <c r="E21" s="35">
        <v>0</v>
      </c>
      <c r="F21" s="36" t="s">
        <v>17</v>
      </c>
      <c r="G21" s="37" t="str">
        <f t="shared" si="0"/>
        <v/>
      </c>
      <c r="H21" s="38" t="str">
        <f t="shared" si="1"/>
        <v>تم الإلغاء</v>
      </c>
      <c r="I21" s="49"/>
      <c r="J21" s="50"/>
    </row>
    <row r="22" spans="1:10" ht="30" customHeight="1" x14ac:dyDescent="0.3">
      <c r="A22" s="10"/>
      <c r="B22" s="86" t="s">
        <v>195</v>
      </c>
      <c r="C22" s="87"/>
      <c r="D22" s="87"/>
      <c r="E22" s="35">
        <v>0</v>
      </c>
      <c r="F22" s="36" t="s">
        <v>17</v>
      </c>
      <c r="G22" s="37" t="str">
        <f t="shared" si="0"/>
        <v/>
      </c>
      <c r="H22" s="38" t="str">
        <f t="shared" si="1"/>
        <v>تم الإلغاء</v>
      </c>
      <c r="I22" s="49"/>
      <c r="J22" s="50"/>
    </row>
    <row r="23" spans="1:10" ht="30" customHeight="1" thickBot="1" x14ac:dyDescent="0.35">
      <c r="A23" s="10"/>
      <c r="B23" s="88" t="s">
        <v>196</v>
      </c>
      <c r="C23" s="89"/>
      <c r="D23" s="89"/>
      <c r="E23" s="27">
        <v>0</v>
      </c>
      <c r="F23" s="39" t="s">
        <v>17</v>
      </c>
      <c r="G23" s="40" t="str">
        <f t="shared" si="0"/>
        <v/>
      </c>
      <c r="H23" s="41" t="str">
        <f t="shared" si="1"/>
        <v>تم الإلغاء</v>
      </c>
      <c r="I23" s="62"/>
      <c r="J23" s="63"/>
    </row>
    <row r="24" spans="1:10" ht="30" customHeight="1" x14ac:dyDescent="0.3">
      <c r="A24" s="10"/>
      <c r="B24" s="84" t="s">
        <v>197</v>
      </c>
      <c r="C24" s="85"/>
      <c r="D24" s="85"/>
      <c r="E24" s="31"/>
      <c r="F24" s="32"/>
      <c r="G24" s="33"/>
      <c r="H24" s="34"/>
      <c r="I24" s="64"/>
      <c r="J24" s="65"/>
    </row>
    <row r="25" spans="1:10" ht="30" customHeight="1" x14ac:dyDescent="0.3">
      <c r="A25" s="10"/>
      <c r="B25" s="86" t="s">
        <v>198</v>
      </c>
      <c r="C25" s="87"/>
      <c r="D25" s="87"/>
      <c r="E25" s="35">
        <v>5</v>
      </c>
      <c r="F25" s="36">
        <v>4</v>
      </c>
      <c r="G25" s="37">
        <f t="shared" si="0"/>
        <v>0.8</v>
      </c>
      <c r="H25" s="38" t="str">
        <f t="shared" si="1"/>
        <v>جيد جداً</v>
      </c>
      <c r="I25" s="49"/>
      <c r="J25" s="50"/>
    </row>
    <row r="26" spans="1:10" ht="58.5" customHeight="1" x14ac:dyDescent="0.3">
      <c r="A26" s="10"/>
      <c r="B26" s="86" t="s">
        <v>199</v>
      </c>
      <c r="C26" s="87"/>
      <c r="D26" s="87"/>
      <c r="E26" s="35">
        <v>5</v>
      </c>
      <c r="F26" s="36">
        <v>3.5</v>
      </c>
      <c r="G26" s="37">
        <f t="shared" si="0"/>
        <v>0.7</v>
      </c>
      <c r="H26" s="38" t="str">
        <f t="shared" si="1"/>
        <v>جيد</v>
      </c>
      <c r="I26" s="49" t="s">
        <v>241</v>
      </c>
      <c r="J26" s="50"/>
    </row>
    <row r="27" spans="1:10" ht="30" customHeight="1" x14ac:dyDescent="0.3">
      <c r="A27" s="10"/>
      <c r="B27" s="86" t="s">
        <v>200</v>
      </c>
      <c r="C27" s="87"/>
      <c r="D27" s="87"/>
      <c r="E27" s="35">
        <v>0</v>
      </c>
      <c r="F27" s="36" t="s">
        <v>17</v>
      </c>
      <c r="G27" s="37" t="str">
        <f t="shared" si="0"/>
        <v/>
      </c>
      <c r="H27" s="38" t="str">
        <f t="shared" si="1"/>
        <v>تم الإلغاء</v>
      </c>
      <c r="I27" s="49"/>
      <c r="J27" s="50"/>
    </row>
    <row r="28" spans="1:10" ht="39.9" customHeight="1" x14ac:dyDescent="0.3">
      <c r="A28" s="10"/>
      <c r="B28" s="86" t="s">
        <v>201</v>
      </c>
      <c r="C28" s="87"/>
      <c r="D28" s="87"/>
      <c r="E28" s="35">
        <v>5</v>
      </c>
      <c r="F28" s="36">
        <v>3.5</v>
      </c>
      <c r="G28" s="37">
        <f t="shared" si="0"/>
        <v>0.7</v>
      </c>
      <c r="H28" s="38" t="str">
        <f t="shared" si="1"/>
        <v>جيد</v>
      </c>
      <c r="I28" s="49" t="s">
        <v>237</v>
      </c>
      <c r="J28" s="50"/>
    </row>
    <row r="29" spans="1:10" ht="30" customHeight="1" x14ac:dyDescent="0.3">
      <c r="A29" s="10"/>
      <c r="B29" s="86" t="s">
        <v>202</v>
      </c>
      <c r="C29" s="87"/>
      <c r="D29" s="87"/>
      <c r="E29" s="35">
        <v>5</v>
      </c>
      <c r="F29" s="36">
        <v>1</v>
      </c>
      <c r="G29" s="37">
        <f t="shared" si="0"/>
        <v>0.2</v>
      </c>
      <c r="H29" s="38" t="str">
        <f t="shared" si="1"/>
        <v>راسب</v>
      </c>
      <c r="I29" s="49" t="s">
        <v>238</v>
      </c>
      <c r="J29" s="50"/>
    </row>
    <row r="30" spans="1:10" ht="30" customHeight="1" thickBot="1" x14ac:dyDescent="0.35">
      <c r="A30" s="10"/>
      <c r="B30" s="88" t="s">
        <v>203</v>
      </c>
      <c r="C30" s="89"/>
      <c r="D30" s="89"/>
      <c r="E30" s="27">
        <v>5</v>
      </c>
      <c r="F30" s="39">
        <v>1</v>
      </c>
      <c r="G30" s="40">
        <f t="shared" si="0"/>
        <v>0.2</v>
      </c>
      <c r="H30" s="41" t="str">
        <f t="shared" si="1"/>
        <v>راسب</v>
      </c>
      <c r="I30" s="62" t="s">
        <v>239</v>
      </c>
      <c r="J30" s="63"/>
    </row>
    <row r="31" spans="1:10" ht="30" customHeight="1" x14ac:dyDescent="0.3">
      <c r="A31" s="10"/>
      <c r="B31" s="84" t="s">
        <v>204</v>
      </c>
      <c r="C31" s="85"/>
      <c r="D31" s="85"/>
      <c r="E31" s="31"/>
      <c r="F31" s="32"/>
      <c r="G31" s="33"/>
      <c r="H31" s="34"/>
      <c r="I31" s="64"/>
      <c r="J31" s="65"/>
    </row>
    <row r="32" spans="1:10" ht="30" customHeight="1" x14ac:dyDescent="0.3">
      <c r="A32" s="10"/>
      <c r="B32" s="86" t="s">
        <v>205</v>
      </c>
      <c r="C32" s="87"/>
      <c r="D32" s="87"/>
      <c r="E32" s="35">
        <v>5</v>
      </c>
      <c r="F32" s="36">
        <v>3.75</v>
      </c>
      <c r="G32" s="37">
        <f t="shared" si="0"/>
        <v>0.75</v>
      </c>
      <c r="H32" s="38" t="str">
        <f t="shared" si="1"/>
        <v>جيد</v>
      </c>
      <c r="I32" s="49"/>
      <c r="J32" s="50"/>
    </row>
    <row r="33" spans="1:10" ht="30" customHeight="1" x14ac:dyDescent="0.3">
      <c r="A33" s="10"/>
      <c r="B33" s="86" t="s">
        <v>206</v>
      </c>
      <c r="C33" s="87"/>
      <c r="D33" s="87"/>
      <c r="E33" s="35">
        <v>5</v>
      </c>
      <c r="F33" s="36">
        <v>3.75</v>
      </c>
      <c r="G33" s="37">
        <f t="shared" si="0"/>
        <v>0.75</v>
      </c>
      <c r="H33" s="38" t="str">
        <f t="shared" si="1"/>
        <v>جيد</v>
      </c>
      <c r="I33" s="49" t="s">
        <v>240</v>
      </c>
      <c r="J33" s="50"/>
    </row>
    <row r="34" spans="1:10" ht="30" customHeight="1" x14ac:dyDescent="0.3">
      <c r="A34" s="10"/>
      <c r="B34" s="86" t="s">
        <v>207</v>
      </c>
      <c r="C34" s="87"/>
      <c r="D34" s="87"/>
      <c r="E34" s="35">
        <v>5</v>
      </c>
      <c r="F34" s="36">
        <v>3.75</v>
      </c>
      <c r="G34" s="37">
        <f t="shared" si="0"/>
        <v>0.75</v>
      </c>
      <c r="H34" s="38" t="str">
        <f t="shared" si="1"/>
        <v>جيد</v>
      </c>
      <c r="I34" s="49"/>
      <c r="J34" s="50"/>
    </row>
    <row r="35" spans="1:10" ht="30" customHeight="1" x14ac:dyDescent="0.3">
      <c r="A35" s="10"/>
      <c r="B35" s="86" t="s">
        <v>208</v>
      </c>
      <c r="C35" s="87"/>
      <c r="D35" s="87"/>
      <c r="E35" s="35">
        <v>5</v>
      </c>
      <c r="F35" s="36">
        <v>3.75</v>
      </c>
      <c r="G35" s="37">
        <f t="shared" si="0"/>
        <v>0.75</v>
      </c>
      <c r="H35" s="38" t="str">
        <f t="shared" si="1"/>
        <v>جيد</v>
      </c>
      <c r="I35" s="49"/>
      <c r="J35" s="50"/>
    </row>
    <row r="36" spans="1:10" ht="30" customHeight="1" x14ac:dyDescent="0.3">
      <c r="A36" s="10"/>
      <c r="B36" s="86" t="s">
        <v>209</v>
      </c>
      <c r="C36" s="87"/>
      <c r="D36" s="87"/>
      <c r="E36" s="35">
        <v>5</v>
      </c>
      <c r="F36" s="36">
        <v>3.75</v>
      </c>
      <c r="G36" s="37">
        <f t="shared" si="0"/>
        <v>0.75</v>
      </c>
      <c r="H36" s="38" t="str">
        <f t="shared" si="1"/>
        <v>جيد</v>
      </c>
      <c r="I36" s="49"/>
      <c r="J36" s="50"/>
    </row>
    <row r="37" spans="1:10" ht="30" customHeight="1" x14ac:dyDescent="0.3">
      <c r="A37" s="10"/>
      <c r="B37" s="86" t="s">
        <v>210</v>
      </c>
      <c r="C37" s="87"/>
      <c r="D37" s="87"/>
      <c r="E37" s="35">
        <v>5</v>
      </c>
      <c r="F37" s="36">
        <v>3.75</v>
      </c>
      <c r="G37" s="37">
        <f t="shared" si="0"/>
        <v>0.75</v>
      </c>
      <c r="H37" s="38" t="str">
        <f t="shared" si="1"/>
        <v>جيد</v>
      </c>
      <c r="I37" s="49"/>
      <c r="J37" s="50"/>
    </row>
    <row r="38" spans="1:10" ht="30" customHeight="1" x14ac:dyDescent="0.3">
      <c r="A38" s="10"/>
      <c r="B38" s="86" t="s">
        <v>211</v>
      </c>
      <c r="C38" s="87"/>
      <c r="D38" s="87"/>
      <c r="E38" s="35">
        <v>5</v>
      </c>
      <c r="F38" s="42">
        <v>3.5</v>
      </c>
      <c r="G38" s="37">
        <f t="shared" si="0"/>
        <v>0.7</v>
      </c>
      <c r="H38" s="38" t="str">
        <f t="shared" si="1"/>
        <v>جيد</v>
      </c>
      <c r="I38" s="49"/>
      <c r="J38" s="50"/>
    </row>
    <row r="39" spans="1:10" ht="30" customHeight="1" x14ac:dyDescent="0.3">
      <c r="A39" s="10"/>
      <c r="B39" s="86" t="s">
        <v>212</v>
      </c>
      <c r="C39" s="87"/>
      <c r="D39" s="87"/>
      <c r="E39" s="35">
        <v>5</v>
      </c>
      <c r="F39" s="42">
        <v>3.75</v>
      </c>
      <c r="G39" s="37">
        <f t="shared" si="0"/>
        <v>0.75</v>
      </c>
      <c r="H39" s="38" t="str">
        <f t="shared" si="1"/>
        <v>جيد</v>
      </c>
      <c r="I39" s="49"/>
      <c r="J39" s="50"/>
    </row>
    <row r="40" spans="1:10" ht="30" customHeight="1" x14ac:dyDescent="0.3">
      <c r="A40" s="10"/>
      <c r="B40" s="86" t="s">
        <v>213</v>
      </c>
      <c r="C40" s="87"/>
      <c r="D40" s="87"/>
      <c r="E40" s="35">
        <v>5</v>
      </c>
      <c r="F40" s="42">
        <v>3.5</v>
      </c>
      <c r="G40" s="37">
        <f t="shared" si="0"/>
        <v>0.7</v>
      </c>
      <c r="H40" s="38" t="str">
        <f t="shared" si="1"/>
        <v>جيد</v>
      </c>
      <c r="I40" s="49"/>
      <c r="J40" s="50"/>
    </row>
    <row r="41" spans="1:10" ht="30" customHeight="1" x14ac:dyDescent="0.3">
      <c r="A41" s="10"/>
      <c r="B41" s="86" t="s">
        <v>214</v>
      </c>
      <c r="C41" s="87"/>
      <c r="D41" s="87"/>
      <c r="E41" s="35">
        <v>5</v>
      </c>
      <c r="F41" s="36">
        <v>3.75</v>
      </c>
      <c r="G41" s="37">
        <f t="shared" si="0"/>
        <v>0.75</v>
      </c>
      <c r="H41" s="38" t="str">
        <f t="shared" si="1"/>
        <v>جيد</v>
      </c>
      <c r="I41" s="49"/>
      <c r="J41" s="50"/>
    </row>
    <row r="42" spans="1:10" ht="30" customHeight="1" x14ac:dyDescent="0.3">
      <c r="A42" s="10"/>
      <c r="B42" s="86" t="s">
        <v>215</v>
      </c>
      <c r="C42" s="87"/>
      <c r="D42" s="87"/>
      <c r="E42" s="35">
        <v>5</v>
      </c>
      <c r="F42" s="36">
        <v>3.75</v>
      </c>
      <c r="G42" s="37">
        <f t="shared" si="0"/>
        <v>0.75</v>
      </c>
      <c r="H42" s="38" t="str">
        <f t="shared" si="1"/>
        <v>جيد</v>
      </c>
      <c r="I42" s="49"/>
      <c r="J42" s="50"/>
    </row>
    <row r="43" spans="1:10" ht="30" customHeight="1" x14ac:dyDescent="0.3">
      <c r="A43" s="10"/>
      <c r="B43" s="86" t="s">
        <v>216</v>
      </c>
      <c r="C43" s="87"/>
      <c r="D43" s="87"/>
      <c r="E43" s="35">
        <v>5</v>
      </c>
      <c r="F43" s="36">
        <v>3.75</v>
      </c>
      <c r="G43" s="37">
        <f t="shared" si="0"/>
        <v>0.75</v>
      </c>
      <c r="H43" s="38" t="str">
        <f t="shared" si="1"/>
        <v>جيد</v>
      </c>
      <c r="I43" s="49"/>
      <c r="J43" s="50"/>
    </row>
    <row r="44" spans="1:10" ht="30" customHeight="1" x14ac:dyDescent="0.3">
      <c r="A44" s="10"/>
      <c r="B44" s="86" t="s">
        <v>217</v>
      </c>
      <c r="C44" s="87"/>
      <c r="D44" s="87"/>
      <c r="E44" s="35">
        <v>5</v>
      </c>
      <c r="F44" s="36">
        <v>3.75</v>
      </c>
      <c r="G44" s="37">
        <f t="shared" si="0"/>
        <v>0.75</v>
      </c>
      <c r="H44" s="38" t="str">
        <f t="shared" si="1"/>
        <v>جيد</v>
      </c>
      <c r="I44" s="49"/>
      <c r="J44" s="50"/>
    </row>
    <row r="45" spans="1:10" ht="30" customHeight="1" thickBot="1" x14ac:dyDescent="0.35">
      <c r="A45" s="10"/>
      <c r="B45" s="88" t="s">
        <v>218</v>
      </c>
      <c r="C45" s="89"/>
      <c r="D45" s="89"/>
      <c r="E45" s="27">
        <v>5</v>
      </c>
      <c r="F45" s="39">
        <v>3.75</v>
      </c>
      <c r="G45" s="40">
        <f t="shared" si="0"/>
        <v>0.75</v>
      </c>
      <c r="H45" s="41" t="str">
        <f t="shared" si="1"/>
        <v>جيد</v>
      </c>
      <c r="I45" s="62"/>
      <c r="J45" s="63"/>
    </row>
    <row r="46" spans="1:10" ht="30" customHeight="1" x14ac:dyDescent="0.3">
      <c r="A46" s="10"/>
      <c r="B46" s="84" t="s">
        <v>219</v>
      </c>
      <c r="C46" s="85"/>
      <c r="D46" s="85"/>
      <c r="E46" s="31"/>
      <c r="F46" s="32"/>
      <c r="G46" s="33"/>
      <c r="H46" s="34"/>
      <c r="I46" s="64"/>
      <c r="J46" s="65"/>
    </row>
    <row r="47" spans="1:10" ht="30" customHeight="1" x14ac:dyDescent="0.3">
      <c r="A47" s="10"/>
      <c r="B47" s="86" t="s">
        <v>220</v>
      </c>
      <c r="C47" s="87"/>
      <c r="D47" s="87"/>
      <c r="E47" s="35">
        <v>5</v>
      </c>
      <c r="F47" s="36">
        <v>3.75</v>
      </c>
      <c r="G47" s="37">
        <f t="shared" si="0"/>
        <v>0.75</v>
      </c>
      <c r="H47" s="38" t="str">
        <f t="shared" si="1"/>
        <v>جيد</v>
      </c>
      <c r="I47" s="49"/>
      <c r="J47" s="50"/>
    </row>
    <row r="48" spans="1:10" ht="30" customHeight="1" x14ac:dyDescent="0.3">
      <c r="A48" s="10"/>
      <c r="B48" s="86" t="s">
        <v>221</v>
      </c>
      <c r="C48" s="87"/>
      <c r="D48" s="87"/>
      <c r="E48" s="35">
        <v>5</v>
      </c>
      <c r="F48" s="36">
        <v>3.75</v>
      </c>
      <c r="G48" s="37">
        <f t="shared" si="0"/>
        <v>0.75</v>
      </c>
      <c r="H48" s="38" t="str">
        <f t="shared" si="1"/>
        <v>جيد</v>
      </c>
      <c r="I48" s="49"/>
      <c r="J48" s="50"/>
    </row>
    <row r="49" spans="1:10" ht="30" customHeight="1" x14ac:dyDescent="0.3">
      <c r="A49" s="10"/>
      <c r="B49" s="86" t="s">
        <v>222</v>
      </c>
      <c r="C49" s="87"/>
      <c r="D49" s="87"/>
      <c r="E49" s="35">
        <v>5</v>
      </c>
      <c r="F49" s="36">
        <v>3.75</v>
      </c>
      <c r="G49" s="37">
        <f t="shared" si="0"/>
        <v>0.75</v>
      </c>
      <c r="H49" s="38" t="str">
        <f t="shared" si="1"/>
        <v>جيد</v>
      </c>
      <c r="I49" s="49"/>
      <c r="J49" s="50"/>
    </row>
    <row r="50" spans="1:10" ht="30" customHeight="1" x14ac:dyDescent="0.3">
      <c r="A50" s="10"/>
      <c r="B50" s="86" t="s">
        <v>223</v>
      </c>
      <c r="C50" s="87"/>
      <c r="D50" s="87"/>
      <c r="E50" s="35">
        <v>5</v>
      </c>
      <c r="F50" s="36">
        <v>3.75</v>
      </c>
      <c r="G50" s="37">
        <f t="shared" si="0"/>
        <v>0.75</v>
      </c>
      <c r="H50" s="38" t="str">
        <f t="shared" si="1"/>
        <v>جيد</v>
      </c>
      <c r="I50" s="49"/>
      <c r="J50" s="50"/>
    </row>
    <row r="51" spans="1:10" ht="30" customHeight="1" x14ac:dyDescent="0.3">
      <c r="A51" s="10"/>
      <c r="B51" s="86" t="s">
        <v>224</v>
      </c>
      <c r="C51" s="87"/>
      <c r="D51" s="87"/>
      <c r="E51" s="35">
        <v>5</v>
      </c>
      <c r="F51" s="36">
        <v>3.75</v>
      </c>
      <c r="G51" s="37">
        <f t="shared" si="0"/>
        <v>0.75</v>
      </c>
      <c r="H51" s="38" t="str">
        <f t="shared" si="1"/>
        <v>جيد</v>
      </c>
      <c r="I51" s="49"/>
      <c r="J51" s="50"/>
    </row>
    <row r="52" spans="1:10" ht="30" customHeight="1" thickBot="1" x14ac:dyDescent="0.35">
      <c r="A52" s="10"/>
      <c r="B52" s="88" t="s">
        <v>225</v>
      </c>
      <c r="C52" s="89"/>
      <c r="D52" s="89"/>
      <c r="E52" s="27">
        <v>5</v>
      </c>
      <c r="F52" s="39">
        <v>3.75</v>
      </c>
      <c r="G52" s="40">
        <f t="shared" si="0"/>
        <v>0.75</v>
      </c>
      <c r="H52" s="41" t="str">
        <f t="shared" si="1"/>
        <v>جيد</v>
      </c>
      <c r="I52" s="62"/>
      <c r="J52" s="63"/>
    </row>
    <row r="53" spans="1:10" ht="30" customHeight="1" x14ac:dyDescent="0.3">
      <c r="A53" s="10"/>
      <c r="B53" s="84" t="s">
        <v>226</v>
      </c>
      <c r="C53" s="85"/>
      <c r="D53" s="85"/>
      <c r="E53" s="31"/>
      <c r="F53" s="32"/>
      <c r="G53" s="33"/>
      <c r="H53" s="34"/>
      <c r="I53" s="64"/>
      <c r="J53" s="65"/>
    </row>
    <row r="54" spans="1:10" ht="30" customHeight="1" x14ac:dyDescent="0.3">
      <c r="A54" s="10"/>
      <c r="B54" s="86" t="s">
        <v>227</v>
      </c>
      <c r="C54" s="87"/>
      <c r="D54" s="87"/>
      <c r="E54" s="35">
        <v>0</v>
      </c>
      <c r="F54" s="36" t="s">
        <v>17</v>
      </c>
      <c r="G54" s="37" t="str">
        <f t="shared" si="0"/>
        <v/>
      </c>
      <c r="H54" s="38" t="str">
        <f t="shared" si="1"/>
        <v>تم الإلغاء</v>
      </c>
      <c r="I54" s="49"/>
      <c r="J54" s="50"/>
    </row>
    <row r="55" spans="1:10" ht="30" customHeight="1" x14ac:dyDescent="0.3">
      <c r="A55" s="10"/>
      <c r="B55" s="86" t="s">
        <v>228</v>
      </c>
      <c r="C55" s="87"/>
      <c r="D55" s="87"/>
      <c r="E55" s="35">
        <v>0</v>
      </c>
      <c r="F55" s="36" t="s">
        <v>17</v>
      </c>
      <c r="G55" s="37" t="str">
        <f t="shared" si="0"/>
        <v/>
      </c>
      <c r="H55" s="38" t="str">
        <f t="shared" si="1"/>
        <v>تم الإلغاء</v>
      </c>
      <c r="I55" s="49"/>
      <c r="J55" s="50"/>
    </row>
    <row r="56" spans="1:10" ht="30" customHeight="1" x14ac:dyDescent="0.3">
      <c r="A56" s="10"/>
      <c r="B56" s="86" t="s">
        <v>229</v>
      </c>
      <c r="C56" s="87"/>
      <c r="D56" s="87"/>
      <c r="E56" s="35">
        <v>0</v>
      </c>
      <c r="F56" s="36" t="s">
        <v>17</v>
      </c>
      <c r="G56" s="37" t="str">
        <f t="shared" si="0"/>
        <v/>
      </c>
      <c r="H56" s="38" t="str">
        <f t="shared" si="1"/>
        <v>تم الإلغاء</v>
      </c>
      <c r="I56" s="49"/>
      <c r="J56" s="50"/>
    </row>
    <row r="57" spans="1:10" ht="30" customHeight="1" x14ac:dyDescent="0.3">
      <c r="A57" s="10"/>
      <c r="B57" s="86" t="s">
        <v>230</v>
      </c>
      <c r="C57" s="87"/>
      <c r="D57" s="87"/>
      <c r="E57" s="35">
        <v>0</v>
      </c>
      <c r="F57" s="36" t="s">
        <v>17</v>
      </c>
      <c r="G57" s="37" t="str">
        <f t="shared" si="0"/>
        <v/>
      </c>
      <c r="H57" s="38" t="str">
        <f t="shared" si="1"/>
        <v>تم الإلغاء</v>
      </c>
      <c r="I57" s="49"/>
      <c r="J57" s="50"/>
    </row>
    <row r="58" spans="1:10" ht="30" customHeight="1" x14ac:dyDescent="0.3">
      <c r="A58" s="10"/>
      <c r="B58" s="86" t="s">
        <v>231</v>
      </c>
      <c r="C58" s="87"/>
      <c r="D58" s="87"/>
      <c r="E58" s="35">
        <v>0</v>
      </c>
      <c r="F58" s="36" t="s">
        <v>17</v>
      </c>
      <c r="G58" s="37" t="str">
        <f t="shared" si="0"/>
        <v/>
      </c>
      <c r="H58" s="38" t="str">
        <f t="shared" si="1"/>
        <v>تم الإلغاء</v>
      </c>
      <c r="I58" s="49"/>
      <c r="J58" s="50"/>
    </row>
    <row r="59" spans="1:10" ht="30" customHeight="1" x14ac:dyDescent="0.3">
      <c r="A59" s="10"/>
      <c r="B59" s="86" t="s">
        <v>232</v>
      </c>
      <c r="C59" s="87"/>
      <c r="D59" s="87"/>
      <c r="E59" s="35">
        <v>0</v>
      </c>
      <c r="F59" s="36" t="s">
        <v>17</v>
      </c>
      <c r="G59" s="37" t="str">
        <f t="shared" si="0"/>
        <v/>
      </c>
      <c r="H59" s="38" t="str">
        <f t="shared" si="1"/>
        <v>تم الإلغاء</v>
      </c>
      <c r="I59" s="49"/>
      <c r="J59" s="50"/>
    </row>
    <row r="60" spans="1:10" ht="30" customHeight="1" x14ac:dyDescent="0.3">
      <c r="A60" s="10"/>
      <c r="B60" s="86" t="s">
        <v>233</v>
      </c>
      <c r="C60" s="87"/>
      <c r="D60" s="87"/>
      <c r="E60" s="35">
        <v>0</v>
      </c>
      <c r="F60" s="36" t="s">
        <v>17</v>
      </c>
      <c r="G60" s="37" t="str">
        <f t="shared" si="0"/>
        <v/>
      </c>
      <c r="H60" s="38" t="str">
        <f t="shared" si="1"/>
        <v>تم الإلغاء</v>
      </c>
      <c r="I60" s="49"/>
      <c r="J60" s="50"/>
    </row>
    <row r="61" spans="1:10" ht="30" customHeight="1" thickBot="1" x14ac:dyDescent="0.35">
      <c r="A61" s="10"/>
      <c r="B61" s="88" t="s">
        <v>234</v>
      </c>
      <c r="C61" s="89"/>
      <c r="D61" s="89"/>
      <c r="E61" s="27">
        <v>0</v>
      </c>
      <c r="F61" s="39" t="s">
        <v>17</v>
      </c>
      <c r="G61" s="40" t="str">
        <f t="shared" si="0"/>
        <v/>
      </c>
      <c r="H61" s="41" t="str">
        <f t="shared" si="1"/>
        <v>تم الإلغاء</v>
      </c>
      <c r="I61" s="62"/>
      <c r="J61" s="63"/>
    </row>
    <row r="62" spans="1:10" ht="30" customHeight="1" thickBot="1" x14ac:dyDescent="0.35">
      <c r="A62" s="10"/>
      <c r="B62" s="90" t="s">
        <v>235</v>
      </c>
      <c r="C62" s="91"/>
      <c r="D62" s="91"/>
      <c r="E62" s="9">
        <v>5</v>
      </c>
      <c r="F62" s="29">
        <v>4</v>
      </c>
      <c r="G62" s="30">
        <f t="shared" si="0"/>
        <v>0.8</v>
      </c>
      <c r="H62" s="26" t="str">
        <f t="shared" si="1"/>
        <v>جيد جداً</v>
      </c>
      <c r="I62" s="78"/>
      <c r="J62" s="79"/>
    </row>
    <row r="63" spans="1:10" ht="30" customHeight="1" thickBot="1" x14ac:dyDescent="0.35">
      <c r="A63" s="4"/>
      <c r="B63" s="80" t="s">
        <v>5</v>
      </c>
      <c r="C63" s="81"/>
      <c r="D63" s="81"/>
      <c r="E63" s="27">
        <f>SUM(E8:E62)</f>
        <v>130</v>
      </c>
      <c r="F63" s="27">
        <f>SUM(F8:F62)</f>
        <v>91.5</v>
      </c>
      <c r="G63" s="46"/>
      <c r="H63" s="47"/>
      <c r="I63" s="47"/>
      <c r="J63" s="48"/>
    </row>
    <row r="64" spans="1:10" ht="30" customHeight="1" thickBot="1" x14ac:dyDescent="0.35">
      <c r="A64" s="4"/>
      <c r="B64" s="82" t="s">
        <v>54</v>
      </c>
      <c r="C64" s="83"/>
      <c r="D64" s="83"/>
      <c r="E64" s="58">
        <f>F63/E63/100*100</f>
        <v>0.7038461538461539</v>
      </c>
      <c r="F64" s="58"/>
      <c r="G64" s="58"/>
      <c r="H64" s="58"/>
      <c r="I64" s="58"/>
      <c r="J64" s="59"/>
    </row>
    <row r="65" spans="1:10" ht="30" customHeight="1" thickBot="1" x14ac:dyDescent="0.35">
      <c r="A65" s="4"/>
      <c r="B65" s="82" t="s">
        <v>55</v>
      </c>
      <c r="C65" s="83"/>
      <c r="D65" s="83"/>
      <c r="E65" s="76" t="str">
        <f>_xlfn.IFS(E64&gt;=90%,"ممتاز",E64&gt;=80%,"جيد جداً",E64&gt;=70%,"جيد",E64&gt;=60%,"مقبول",E64&lt;60%,"راسب")</f>
        <v>جيد</v>
      </c>
      <c r="F65" s="76"/>
      <c r="G65" s="76"/>
      <c r="H65" s="76"/>
      <c r="I65" s="76"/>
      <c r="J65" s="77"/>
    </row>
    <row r="66" spans="1:10" ht="42" customHeight="1" x14ac:dyDescent="0.3">
      <c r="B66" s="72" t="s">
        <v>174</v>
      </c>
      <c r="C66" s="72"/>
      <c r="D66" s="72"/>
      <c r="E66" s="44" t="s">
        <v>52</v>
      </c>
      <c r="F66" s="44"/>
      <c r="G66" s="74" t="s">
        <v>59</v>
      </c>
      <c r="H66" s="74"/>
      <c r="I66" s="74"/>
      <c r="J66" s="74"/>
    </row>
    <row r="67" spans="1:10" ht="51" customHeight="1" x14ac:dyDescent="0.3">
      <c r="A67" s="5"/>
      <c r="B67" s="73"/>
      <c r="C67" s="73"/>
      <c r="D67" s="73"/>
      <c r="E67" s="45" t="s">
        <v>53</v>
      </c>
      <c r="F67" s="45"/>
      <c r="G67" s="75"/>
      <c r="H67" s="75"/>
      <c r="I67" s="75"/>
      <c r="J67" s="75"/>
    </row>
  </sheetData>
  <sheetProtection formatCells="0" formatColumns="0" formatRows="0" insertColumns="0" insertRows="0" insertHyperlinks="0" deleteColumns="0" deleteRows="0" selectLockedCells="1" sort="0" autoFilter="0" pivotTables="0"/>
  <mergeCells count="131">
    <mergeCell ref="B49:D49"/>
    <mergeCell ref="B50:D50"/>
    <mergeCell ref="B51:D51"/>
    <mergeCell ref="B52:D52"/>
    <mergeCell ref="B62:D6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63:D63"/>
    <mergeCell ref="B64:D64"/>
    <mergeCell ref="B65:D6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I46:J46"/>
    <mergeCell ref="I47:J47"/>
    <mergeCell ref="I48:J48"/>
    <mergeCell ref="I62:J62"/>
    <mergeCell ref="I32:J32"/>
    <mergeCell ref="I33:J33"/>
    <mergeCell ref="I34:J34"/>
    <mergeCell ref="I35:J35"/>
    <mergeCell ref="I36:J36"/>
    <mergeCell ref="I22:J22"/>
    <mergeCell ref="I23:J23"/>
    <mergeCell ref="I24:J24"/>
    <mergeCell ref="I25:J25"/>
    <mergeCell ref="B66:D67"/>
    <mergeCell ref="G66:J66"/>
    <mergeCell ref="G67:J67"/>
    <mergeCell ref="E65:J6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E66:F66"/>
    <mergeCell ref="E67:F67"/>
    <mergeCell ref="G63:J63"/>
    <mergeCell ref="I9:J9"/>
    <mergeCell ref="B1:J1"/>
    <mergeCell ref="F2:J2"/>
    <mergeCell ref="B5:D6"/>
    <mergeCell ref="C2:D2"/>
    <mergeCell ref="C3:D3"/>
    <mergeCell ref="F3:J3"/>
    <mergeCell ref="E64:J6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5">
    <cfRule type="expression" dxfId="14" priority="57">
      <formula>$E65="راسب"</formula>
    </cfRule>
  </conditionalFormatting>
  <conditionalFormatting sqref="E65:J65">
    <cfRule type="expression" dxfId="13" priority="58">
      <formula>$E65="مقبول"</formula>
    </cfRule>
    <cfRule type="expression" dxfId="12" priority="59">
      <formula>$E65="جيد"</formula>
    </cfRule>
    <cfRule type="expression" dxfId="11" priority="60">
      <formula>$E65="جيد جداً"</formula>
    </cfRule>
    <cfRule type="expression" dxfId="10" priority="61">
      <formula>$E65="ممتاز"</formula>
    </cfRule>
  </conditionalFormatting>
  <conditionalFormatting sqref="F8:F6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6:J66">
    <cfRule type="containsText" dxfId="6" priority="15" operator="containsText" text="أدخل اسم المحكم">
      <formula>NOT(ISERROR(SEARCH("أدخل اسم المحكم",G66)))</formula>
    </cfRule>
  </conditionalFormatting>
  <conditionalFormatting sqref="H8:H6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F54:F62 F47:F52 F32:F45 F25:F30 F9:F23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G66:J66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22" workbookViewId="0">
      <selection activeCell="A42" sqref="A42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 t="s">
        <v>236</v>
      </c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2025-10-08T06:17:41Z</dcterms:modified>
</cp:coreProperties>
</file>