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التقييم'!$A$1:$J$26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" l="1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9" i="2"/>
  <c r="H19" i="2" s="1"/>
  <c r="G20" i="2"/>
  <c r="H20" i="2" s="1"/>
  <c r="G21" i="2"/>
  <c r="H21" i="2" s="1"/>
  <c r="G8" i="2" l="1"/>
  <c r="H8" i="2" s="1"/>
  <c r="F22" i="2" l="1"/>
  <c r="E22" i="2" l="1"/>
  <c r="E23" i="2" l="1"/>
  <c r="E24" i="2" s="1"/>
</calcChain>
</file>

<file path=xl/sharedStrings.xml><?xml version="1.0" encoding="utf-8"?>
<sst xmlns="http://schemas.openxmlformats.org/spreadsheetml/2006/main" count="55" uniqueCount="43">
  <si>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</si>
  <si>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</si>
  <si>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</si>
  <si>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</si>
  <si>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</si>
  <si>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</si>
  <si>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</si>
  <si>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</si>
  <si>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</si>
  <si>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</si>
  <si>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</si>
  <si>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</si>
  <si>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</si>
  <si>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</si>
  <si>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</si>
  <si>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</si>
  <si>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</si>
  <si>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</si>
  <si>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</si>
  <si>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</si>
  <si>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</si>
  <si>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</si>
  <si>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</si>
  <si>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</si>
  <si>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</si>
  <si>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</si>
  <si>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</si>
  <si>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t>ب. ربط منظومة القيادة والسيطرة عن طريق الاتصال السلكي</t>
  </si>
  <si>
    <t>جـ. تأمين الاتصالات السلكية بالكابل د/ 10.</t>
  </si>
  <si>
    <r>
      <t>هـ. توزيع وتفعيل بدالات الوريد وبدالات سي بي اكس (</t>
    </r>
    <r>
      <rPr>
        <sz val="12"/>
        <color rgb="FF000000"/>
        <rFont val="Calibri"/>
        <family val="2"/>
      </rPr>
      <t>CPX</t>
    </r>
    <r>
      <rPr>
        <sz val="12"/>
        <color rgb="FF000000"/>
        <rFont val="Arial"/>
        <family val="2"/>
      </rPr>
      <t>) لكل قطاع.</t>
    </r>
  </si>
  <si>
    <t>ح. التأكد من فرض الصمت اللاسلكي.</t>
  </si>
  <si>
    <t>ب. كشف بأرقام الهواتف والمناصب في القطاعات.</t>
  </si>
  <si>
    <t>جـ. تأمين نقاط المراقبة والحراسات بالهواتف الميدانية.</t>
  </si>
  <si>
    <t>1.    توزيع القوة في منطقة التجمع (الانتشار في منطقة التجمع على شكل الدفاع الدائري).</t>
  </si>
  <si>
    <t>2.    تأسيس الأتصالات في منطقة التجمع وكما يلي:</t>
  </si>
  <si>
    <t>3.    أدامة الاتصالات السلكية في منطقة التجمع وكما يلي:</t>
  </si>
  <si>
    <t>أ.   تحديد مركز الاتصال في منطقة التجمع.</t>
  </si>
  <si>
    <t>د.  التأكد من تأمين الهواتف الميدانية للقطاعات.</t>
  </si>
  <si>
    <t>و.  تنفيذ التجارب على الاتصالات الخطية.</t>
  </si>
  <si>
    <t>ز.  أدامة الاتصالات الخطية.</t>
  </si>
  <si>
    <t>أ.   تحديد مواقع القيادات وارقامهم بالهواتف الميدانية.</t>
  </si>
  <si>
    <r>
      <t xml:space="preserve">ملاحظـــات: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</si>
  <si>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تقييم سرية الإشارة في تأسيس الاتصال في منطقة التجمع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</si>
</sst>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1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7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0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2" fillId="0" borderId="7" xfId="0" applyFont="1" applyBorder="1" applyAlignment="1">
      <alignment horizontal="center" vertical="center" wrapText="1" readingOrder="1"/>
    </xf>
    <xf numFmtId="0" fontId="5" fillId="3" borderId="13" xfId="0" applyFont="1" applyFill="1" applyBorder="1" applyAlignment="1" applyProtection="1">
      <alignment horizontal="center" vertical="center" wrapText="1" readingOrder="2"/>
      <protection locked="0"/>
    </xf>
    <xf numFmtId="0" fontId="2" fillId="0" borderId="16" xfId="0" applyFont="1" applyBorder="1" applyAlignment="1">
      <alignment horizontal="center" vertical="center" wrapText="1" readingOrder="2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9" fontId="3" fillId="0" borderId="7" xfId="0" applyNumberFormat="1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9" fontId="3" fillId="0" borderId="13" xfId="0" applyNumberFormat="1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1"/>
    </xf>
    <xf numFmtId="0" fontId="2" fillId="0" borderId="21" xfId="0" applyFont="1" applyBorder="1" applyAlignment="1">
      <alignment horizontal="center" vertical="center" wrapText="1" readingOrder="2"/>
    </xf>
    <xf numFmtId="0" fontId="3" fillId="0" borderId="21" xfId="0" applyFont="1" applyBorder="1" applyAlignment="1" applyProtection="1">
      <alignment horizontal="center" vertical="center" wrapText="1" readingOrder="2"/>
      <protection locked="0"/>
    </xf>
    <xf numFmtId="9" fontId="3" fillId="0" borderId="21" xfId="0" applyNumberFormat="1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1"/>
    </xf>
    <xf numFmtId="0" fontId="3" fillId="0" borderId="16" xfId="0" applyFont="1" applyBorder="1" applyAlignment="1" applyProtection="1">
      <alignment horizontal="center" vertical="center" wrapText="1" readingOrder="2"/>
      <protection locked="0"/>
    </xf>
    <xf numFmtId="9" fontId="3" fillId="0" borderId="16" xfId="0" applyNumberFormat="1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1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7" xfId="0" applyFont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center" vertical="center" wrapText="1" readingOrder="1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5" fillId="3" borderId="6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3" fillId="0" borderId="21" xfId="0" applyFont="1" applyBorder="1" applyAlignment="1" applyProtection="1">
      <alignment horizontal="center" vertical="center" wrapText="1" readingOrder="2"/>
      <protection locked="0"/>
    </xf>
    <xf numFmtId="0" fontId="3" fillId="0" borderId="22" xfId="0" applyFont="1" applyBorder="1" applyAlignment="1" applyProtection="1">
      <alignment horizontal="center" vertical="center" wrapText="1" readingOrder="2"/>
      <protection locked="0"/>
    </xf>
    <xf numFmtId="0" fontId="3" fillId="0" borderId="16" xfId="0" applyFont="1" applyBorder="1" applyAlignment="1" applyProtection="1">
      <alignment horizontal="center" vertical="center" wrapText="1" readingOrder="2"/>
      <protection locked="0"/>
    </xf>
    <xf numFmtId="0" fontId="3" fillId="0" borderId="23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6" fillId="3" borderId="12" xfId="0" applyFont="1" applyFill="1" applyBorder="1" applyAlignment="1" applyProtection="1">
      <alignment horizontal="center" vertical="center" wrapText="1" readingOrder="2"/>
      <protection locked="0"/>
    </xf>
    <xf numFmtId="0" fontId="6" fillId="3" borderId="13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0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3" xfId="0" applyFont="1" applyFill="1" applyBorder="1" applyAlignment="1" applyProtection="1">
      <alignment horizontal="center" vertical="center" wrapText="1" readingOrder="2"/>
      <protection locked="0"/>
    </xf>
    <xf numFmtId="0" fontId="5" fillId="3" borderId="14" xfId="0" applyFont="1" applyFill="1" applyBorder="1" applyAlignment="1" applyProtection="1">
      <alignment horizontal="center" vertical="center" wrapText="1" readingOrder="2"/>
      <protection locked="0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9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7" xfId="0" applyFont="1" applyBorder="1" applyAlignment="1">
      <alignment horizontal="center" vertical="center" wrapText="1" readingOrder="2"/>
    </xf>
    <xf numFmtId="0" fontId="2" fillId="0" borderId="18" xfId="0" applyFont="1" applyBorder="1" applyAlignment="1">
      <alignment horizontal="center" vertical="center" wrapText="1" readingOrder="2"/>
    </xf>
    <xf numFmtId="0" fontId="2" fillId="0" borderId="19" xfId="0" applyFont="1" applyBorder="1" applyAlignment="1">
      <alignment horizontal="center" vertical="center" wrapText="1" readingOrder="2"/>
    </xf>
    <xf numFmtId="10" fontId="2" fillId="0" borderId="7" xfId="0" applyNumberFormat="1" applyFont="1" applyBorder="1" applyAlignment="1">
      <alignment horizontal="center" vertical="center" wrapText="1" readingOrder="2"/>
    </xf>
    <xf numFmtId="10" fontId="2" fillId="0" borderId="8" xfId="0" applyNumberFormat="1" applyFont="1" applyBorder="1" applyAlignment="1">
      <alignment horizontal="center" vertical="center" wrapText="1" readingOrder="2"/>
    </xf>
    <xf numFmtId="0" fontId="9" fillId="0" borderId="20" xfId="0" applyFont="1" applyBorder="1" applyAlignment="1">
      <alignment horizontal="right" vertical="center" wrapText="1" indent="3" readingOrder="2"/>
    </xf>
    <xf numFmtId="0" fontId="9" fillId="0" borderId="21" xfId="0" applyFont="1" applyBorder="1" applyAlignment="1">
      <alignment horizontal="right" vertical="center" wrapText="1" indent="3" readingOrder="2"/>
    </xf>
    <xf numFmtId="0" fontId="8" fillId="0" borderId="6" xfId="0" applyFont="1" applyBorder="1" applyAlignment="1">
      <alignment horizontal="right" vertical="center" wrapText="1" readingOrder="2"/>
    </xf>
    <xf numFmtId="0" fontId="8" fillId="0" borderId="7" xfId="0" applyFont="1" applyBorder="1" applyAlignment="1">
      <alignment horizontal="right" vertical="center" wrapText="1" readingOrder="2"/>
    </xf>
    <xf numFmtId="0" fontId="8" fillId="0" borderId="12" xfId="0" applyFont="1" applyBorder="1" applyAlignment="1">
      <alignment horizontal="right" vertical="center" wrapText="1" readingOrder="2"/>
    </xf>
    <xf numFmtId="0" fontId="8" fillId="0" borderId="13" xfId="0" applyFont="1" applyBorder="1" applyAlignment="1">
      <alignment horizontal="right" vertical="center" wrapText="1" readingOrder="2"/>
    </xf>
    <xf numFmtId="0" fontId="9" fillId="0" borderId="15" xfId="0" applyFont="1" applyBorder="1" applyAlignment="1">
      <alignment horizontal="right" vertical="center" wrapText="1" indent="3" readingOrder="2"/>
    </xf>
    <xf numFmtId="0" fontId="9" fillId="0" borderId="16" xfId="0" applyFont="1" applyBorder="1" applyAlignment="1">
      <alignment horizontal="right" vertical="center" wrapText="1" indent="3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26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75" t="s">
        <v>42</v>
      </c>
      <c r="C1" s="75"/>
      <c r="D1" s="75"/>
      <c r="E1" s="75"/>
      <c r="F1" s="75"/>
      <c r="G1" s="75"/>
      <c r="H1" s="75"/>
      <c r="I1" s="75"/>
      <c r="J1" s="75"/>
    </row>
    <row r="2" spans="1:10" ht="30" customHeight="1" x14ac:dyDescent="0.25">
      <c r="B2" s="11" t="s">
        <v>8</v>
      </c>
      <c r="C2" s="59" t="s">
        <v>23</v>
      </c>
      <c r="D2" s="59"/>
      <c r="E2" s="11" t="s">
        <v>7</v>
      </c>
      <c r="F2" s="54" t="s">
        <v>22</v>
      </c>
      <c r="G2" s="54"/>
      <c r="H2" s="54"/>
      <c r="I2" s="54"/>
      <c r="J2" s="54"/>
    </row>
    <row r="3" spans="1:10" ht="30" customHeight="1" x14ac:dyDescent="0.25">
      <c r="B3" s="11" t="s">
        <v>9</v>
      </c>
      <c r="C3" s="59" t="s">
        <v>25</v>
      </c>
      <c r="D3" s="59"/>
      <c r="E3" s="11" t="s">
        <v>6</v>
      </c>
      <c r="F3" s="59" t="s">
        <v>24</v>
      </c>
      <c r="G3" s="59"/>
      <c r="H3" s="59"/>
      <c r="I3" s="59"/>
      <c r="J3" s="59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9"/>
      <c r="B5" s="55" t="s">
        <v>0</v>
      </c>
      <c r="C5" s="56"/>
      <c r="D5" s="56"/>
      <c r="E5" s="48" t="s">
        <v>1</v>
      </c>
      <c r="F5" s="48"/>
      <c r="G5" s="48"/>
      <c r="H5" s="48"/>
      <c r="I5" s="48" t="s">
        <v>2</v>
      </c>
      <c r="J5" s="49"/>
    </row>
    <row r="6" spans="1:10" ht="24.95" customHeight="1" thickBot="1" x14ac:dyDescent="0.3">
      <c r="A6" s="9"/>
      <c r="B6" s="57"/>
      <c r="C6" s="58"/>
      <c r="D6" s="58"/>
      <c r="E6" s="10" t="s">
        <v>3</v>
      </c>
      <c r="F6" s="10" t="s">
        <v>4</v>
      </c>
      <c r="G6" s="10" t="s">
        <v>15</v>
      </c>
      <c r="H6" s="10" t="s">
        <v>16</v>
      </c>
      <c r="I6" s="50"/>
      <c r="J6" s="51"/>
    </row>
    <row r="7" spans="1:10" ht="24.95" customHeight="1" thickBot="1" x14ac:dyDescent="0.3">
      <c r="A7" s="9"/>
      <c r="B7" s="46" t="s">
        <v>13</v>
      </c>
      <c r="C7" s="47"/>
      <c r="D7" s="47"/>
      <c r="E7" s="13" t="s">
        <v>10</v>
      </c>
      <c r="F7" s="13" t="s">
        <v>11</v>
      </c>
      <c r="G7" s="13" t="s">
        <v>14</v>
      </c>
      <c r="H7" s="13" t="s">
        <v>12</v>
      </c>
      <c r="I7" s="52" t="s">
        <v>17</v>
      </c>
      <c r="J7" s="53"/>
    </row>
    <row r="8" spans="1:10" ht="39.950000000000003" customHeight="1" thickBot="1" x14ac:dyDescent="0.3">
      <c r="A8" s="9"/>
      <c r="B8" s="69" t="s">
        <v>33</v>
      </c>
      <c r="C8" s="70"/>
      <c r="D8" s="70"/>
      <c r="E8" s="8">
        <v>5</v>
      </c>
      <c r="F8" s="15" t="s">
        <v>26</v>
      </c>
      <c r="G8" s="16" t="str">
        <f>IFERROR(F8/E8,"")</f>
        <v/>
      </c>
      <c r="H8" s="12" t="str">
        <f>_xlfn.IFS(F8="أدخل العلامة","",F8="لا ينطبق","تم الإلغاء",G8&gt;=90%,"ممتاز",G8&gt;=80%,"جيد جداً",G8&gt;=70%,"جيد",G8&gt;=60%,"مقبول",G8&lt;60%,"راسب")</f>
        <v/>
      </c>
      <c r="I8" s="34"/>
      <c r="J8" s="35"/>
    </row>
    <row r="9" spans="1:10" ht="30" customHeight="1" x14ac:dyDescent="0.25">
      <c r="A9" s="9"/>
      <c r="B9" s="71" t="s">
        <v>34</v>
      </c>
      <c r="C9" s="72"/>
      <c r="D9" s="72"/>
      <c r="E9" s="17"/>
      <c r="F9" s="18"/>
      <c r="G9" s="19"/>
      <c r="H9" s="20"/>
      <c r="I9" s="44"/>
      <c r="J9" s="45"/>
    </row>
    <row r="10" spans="1:10" ht="30" customHeight="1" x14ac:dyDescent="0.25">
      <c r="A10" s="9"/>
      <c r="B10" s="67" t="s">
        <v>36</v>
      </c>
      <c r="C10" s="68"/>
      <c r="D10" s="68"/>
      <c r="E10" s="21">
        <v>5</v>
      </c>
      <c r="F10" s="22" t="s">
        <v>26</v>
      </c>
      <c r="G10" s="23" t="str">
        <f t="shared" ref="G10:G21" si="0">IFERROR(F10/E10,"")</f>
        <v/>
      </c>
      <c r="H10" s="24" t="str">
        <f t="shared" ref="H10:H21" si="1">_xlfn.IFS(F10="أدخل العلامة","",F10="لا ينطبق","تم الإلغاء",G10&gt;=90%,"ممتاز",G10&gt;=80%,"جيد جداً",G10&gt;=70%,"جيد",G10&gt;=60%,"مقبول",G10&lt;60%,"راسب")</f>
        <v/>
      </c>
      <c r="I10" s="40"/>
      <c r="J10" s="41"/>
    </row>
    <row r="11" spans="1:10" ht="30" customHeight="1" x14ac:dyDescent="0.25">
      <c r="A11" s="9"/>
      <c r="B11" s="67" t="s">
        <v>27</v>
      </c>
      <c r="C11" s="68"/>
      <c r="D11" s="68"/>
      <c r="E11" s="21">
        <v>5</v>
      </c>
      <c r="F11" s="22" t="s">
        <v>26</v>
      </c>
      <c r="G11" s="23" t="str">
        <f t="shared" si="0"/>
        <v/>
      </c>
      <c r="H11" s="24" t="str">
        <f t="shared" si="1"/>
        <v/>
      </c>
      <c r="I11" s="40"/>
      <c r="J11" s="41"/>
    </row>
    <row r="12" spans="1:10" ht="30" customHeight="1" x14ac:dyDescent="0.25">
      <c r="A12" s="9"/>
      <c r="B12" s="67" t="s">
        <v>28</v>
      </c>
      <c r="C12" s="68"/>
      <c r="D12" s="68"/>
      <c r="E12" s="21">
        <v>5</v>
      </c>
      <c r="F12" s="22" t="s">
        <v>26</v>
      </c>
      <c r="G12" s="23" t="str">
        <f t="shared" si="0"/>
        <v/>
      </c>
      <c r="H12" s="24" t="str">
        <f t="shared" si="1"/>
        <v/>
      </c>
      <c r="I12" s="40"/>
      <c r="J12" s="41"/>
    </row>
    <row r="13" spans="1:10" ht="30" customHeight="1" x14ac:dyDescent="0.25">
      <c r="A13" s="9"/>
      <c r="B13" s="67" t="s">
        <v>37</v>
      </c>
      <c r="C13" s="68"/>
      <c r="D13" s="68"/>
      <c r="E13" s="21">
        <v>5</v>
      </c>
      <c r="F13" s="22" t="s">
        <v>26</v>
      </c>
      <c r="G13" s="23" t="str">
        <f t="shared" si="0"/>
        <v/>
      </c>
      <c r="H13" s="24" t="str">
        <f t="shared" si="1"/>
        <v/>
      </c>
      <c r="I13" s="40"/>
      <c r="J13" s="41"/>
    </row>
    <row r="14" spans="1:10" ht="39.950000000000003" customHeight="1" x14ac:dyDescent="0.25">
      <c r="A14" s="9"/>
      <c r="B14" s="67" t="s">
        <v>29</v>
      </c>
      <c r="C14" s="68"/>
      <c r="D14" s="68"/>
      <c r="E14" s="21">
        <v>5</v>
      </c>
      <c r="F14" s="22" t="s">
        <v>26</v>
      </c>
      <c r="G14" s="23" t="str">
        <f t="shared" si="0"/>
        <v/>
      </c>
      <c r="H14" s="24" t="str">
        <f t="shared" si="1"/>
        <v/>
      </c>
      <c r="I14" s="40"/>
      <c r="J14" s="41"/>
    </row>
    <row r="15" spans="1:10" ht="30" customHeight="1" x14ac:dyDescent="0.25">
      <c r="A15" s="9"/>
      <c r="B15" s="67" t="s">
        <v>38</v>
      </c>
      <c r="C15" s="68"/>
      <c r="D15" s="68"/>
      <c r="E15" s="21">
        <v>5</v>
      </c>
      <c r="F15" s="22" t="s">
        <v>26</v>
      </c>
      <c r="G15" s="23" t="str">
        <f t="shared" si="0"/>
        <v/>
      </c>
      <c r="H15" s="24" t="str">
        <f t="shared" si="1"/>
        <v/>
      </c>
      <c r="I15" s="40"/>
      <c r="J15" s="41"/>
    </row>
    <row r="16" spans="1:10" ht="30" customHeight="1" x14ac:dyDescent="0.25">
      <c r="A16" s="9"/>
      <c r="B16" s="67" t="s">
        <v>39</v>
      </c>
      <c r="C16" s="68"/>
      <c r="D16" s="68"/>
      <c r="E16" s="21">
        <v>5</v>
      </c>
      <c r="F16" s="22" t="s">
        <v>26</v>
      </c>
      <c r="G16" s="23" t="str">
        <f t="shared" si="0"/>
        <v/>
      </c>
      <c r="H16" s="24" t="str">
        <f t="shared" si="1"/>
        <v/>
      </c>
      <c r="I16" s="40"/>
      <c r="J16" s="41"/>
    </row>
    <row r="17" spans="1:10" ht="30" customHeight="1" thickBot="1" x14ac:dyDescent="0.3">
      <c r="A17" s="9"/>
      <c r="B17" s="73" t="s">
        <v>30</v>
      </c>
      <c r="C17" s="74"/>
      <c r="D17" s="74"/>
      <c r="E17" s="14">
        <v>5</v>
      </c>
      <c r="F17" s="25" t="s">
        <v>26</v>
      </c>
      <c r="G17" s="26" t="str">
        <f t="shared" si="0"/>
        <v/>
      </c>
      <c r="H17" s="27" t="str">
        <f t="shared" si="1"/>
        <v/>
      </c>
      <c r="I17" s="42"/>
      <c r="J17" s="43"/>
    </row>
    <row r="18" spans="1:10" ht="30" customHeight="1" x14ac:dyDescent="0.25">
      <c r="A18" s="9"/>
      <c r="B18" s="71" t="s">
        <v>35</v>
      </c>
      <c r="C18" s="72"/>
      <c r="D18" s="72"/>
      <c r="E18" s="17"/>
      <c r="F18" s="18"/>
      <c r="G18" s="19"/>
      <c r="H18" s="20"/>
      <c r="I18" s="44"/>
      <c r="J18" s="45"/>
    </row>
    <row r="19" spans="1:10" ht="30" customHeight="1" x14ac:dyDescent="0.25">
      <c r="A19" s="9"/>
      <c r="B19" s="67" t="s">
        <v>40</v>
      </c>
      <c r="C19" s="68"/>
      <c r="D19" s="68"/>
      <c r="E19" s="21">
        <v>5</v>
      </c>
      <c r="F19" s="22" t="s">
        <v>26</v>
      </c>
      <c r="G19" s="23" t="str">
        <f t="shared" si="0"/>
        <v/>
      </c>
      <c r="H19" s="24" t="str">
        <f t="shared" si="1"/>
        <v/>
      </c>
      <c r="I19" s="40"/>
      <c r="J19" s="41"/>
    </row>
    <row r="20" spans="1:10" ht="30" customHeight="1" x14ac:dyDescent="0.25">
      <c r="A20" s="9"/>
      <c r="B20" s="67" t="s">
        <v>31</v>
      </c>
      <c r="C20" s="68"/>
      <c r="D20" s="68"/>
      <c r="E20" s="21">
        <v>5</v>
      </c>
      <c r="F20" s="22" t="s">
        <v>26</v>
      </c>
      <c r="G20" s="23" t="str">
        <f t="shared" si="0"/>
        <v/>
      </c>
      <c r="H20" s="24" t="str">
        <f t="shared" si="1"/>
        <v/>
      </c>
      <c r="I20" s="40"/>
      <c r="J20" s="41"/>
    </row>
    <row r="21" spans="1:10" ht="30" customHeight="1" thickBot="1" x14ac:dyDescent="0.3">
      <c r="A21" s="9"/>
      <c r="B21" s="73" t="s">
        <v>32</v>
      </c>
      <c r="C21" s="74"/>
      <c r="D21" s="74"/>
      <c r="E21" s="14">
        <v>5</v>
      </c>
      <c r="F21" s="25" t="s">
        <v>26</v>
      </c>
      <c r="G21" s="26" t="str">
        <f t="shared" si="0"/>
        <v/>
      </c>
      <c r="H21" s="27" t="str">
        <f t="shared" si="1"/>
        <v/>
      </c>
      <c r="I21" s="42"/>
      <c r="J21" s="43"/>
    </row>
    <row r="22" spans="1:10" ht="30" customHeight="1" thickBot="1" x14ac:dyDescent="0.3">
      <c r="A22" s="3"/>
      <c r="B22" s="36" t="s">
        <v>5</v>
      </c>
      <c r="C22" s="37"/>
      <c r="D22" s="37"/>
      <c r="E22" s="14">
        <f>SUM(E8:E21)</f>
        <v>60</v>
      </c>
      <c r="F22" s="14">
        <f>SUM(F8:F21)</f>
        <v>0</v>
      </c>
      <c r="G22" s="62"/>
      <c r="H22" s="63"/>
      <c r="I22" s="63"/>
      <c r="J22" s="64"/>
    </row>
    <row r="23" spans="1:10" ht="30" customHeight="1" thickBot="1" x14ac:dyDescent="0.3">
      <c r="A23" s="3"/>
      <c r="B23" s="38" t="s">
        <v>20</v>
      </c>
      <c r="C23" s="39"/>
      <c r="D23" s="39"/>
      <c r="E23" s="65">
        <f>F22/E22/100*100</f>
        <v>0</v>
      </c>
      <c r="F23" s="65"/>
      <c r="G23" s="65"/>
      <c r="H23" s="65"/>
      <c r="I23" s="65"/>
      <c r="J23" s="66"/>
    </row>
    <row r="24" spans="1:10" ht="30" customHeight="1" thickBot="1" x14ac:dyDescent="0.3">
      <c r="A24" s="3"/>
      <c r="B24" s="38" t="s">
        <v>21</v>
      </c>
      <c r="C24" s="39"/>
      <c r="D24" s="39"/>
      <c r="E24" s="32" t="str">
        <f>_xlfn.IFS(E23&gt;=90%,"ممتاز",E23&gt;=80%,"جيد جداً",E23&gt;=70%,"جيد",E23&gt;=60%,"مقبول",E23&lt;60%,"راسب")</f>
        <v>راسب</v>
      </c>
      <c r="F24" s="32"/>
      <c r="G24" s="32"/>
      <c r="H24" s="32"/>
      <c r="I24" s="32"/>
      <c r="J24" s="33"/>
    </row>
    <row r="25" spans="1:10" ht="42" customHeight="1" x14ac:dyDescent="0.25">
      <c r="B25" s="28" t="s">
        <v>41</v>
      </c>
      <c r="C25" s="28"/>
      <c r="D25" s="28"/>
      <c r="E25" s="60" t="s">
        <v>18</v>
      </c>
      <c r="F25" s="60"/>
      <c r="G25" s="30" t="s">
        <v>24</v>
      </c>
      <c r="H25" s="30"/>
      <c r="I25" s="30"/>
      <c r="J25" s="30"/>
    </row>
    <row r="26" spans="1:10" ht="51" customHeight="1" x14ac:dyDescent="0.25">
      <c r="A26" s="4"/>
      <c r="B26" s="29"/>
      <c r="C26" s="29"/>
      <c r="D26" s="29"/>
      <c r="E26" s="61" t="s">
        <v>19</v>
      </c>
      <c r="F26" s="61"/>
      <c r="G26" s="31"/>
      <c r="H26" s="31"/>
      <c r="I26" s="31"/>
      <c r="J26" s="3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9">
    <mergeCell ref="B17:D17"/>
    <mergeCell ref="B18:D18"/>
    <mergeCell ref="B19:D19"/>
    <mergeCell ref="B20:D20"/>
    <mergeCell ref="B21:D21"/>
    <mergeCell ref="B13:D13"/>
    <mergeCell ref="B14:D14"/>
    <mergeCell ref="B15:D15"/>
    <mergeCell ref="B16:D16"/>
    <mergeCell ref="I9:J9"/>
    <mergeCell ref="B9:D9"/>
    <mergeCell ref="B10:D10"/>
    <mergeCell ref="B11:D11"/>
    <mergeCell ref="B12:D12"/>
    <mergeCell ref="E25:F25"/>
    <mergeCell ref="E26:F26"/>
    <mergeCell ref="G22:J22"/>
    <mergeCell ref="I19:J19"/>
    <mergeCell ref="I20:J20"/>
    <mergeCell ref="I21:J21"/>
    <mergeCell ref="E23:J23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B8:D8"/>
    <mergeCell ref="B25:D26"/>
    <mergeCell ref="G25:J25"/>
    <mergeCell ref="G26:J26"/>
    <mergeCell ref="E24:J24"/>
    <mergeCell ref="I8:J8"/>
    <mergeCell ref="B22:D22"/>
    <mergeCell ref="B23:D23"/>
    <mergeCell ref="B24:D24"/>
    <mergeCell ref="I11:J11"/>
    <mergeCell ref="I12:J12"/>
    <mergeCell ref="I13:J13"/>
    <mergeCell ref="I14:J14"/>
    <mergeCell ref="I15:J15"/>
    <mergeCell ref="I16:J16"/>
    <mergeCell ref="I17:J17"/>
    <mergeCell ref="I18:J18"/>
  </mergeCells>
  <conditionalFormatting sqref="E24">
    <cfRule type="expression" dxfId="23" priority="57">
      <formula>$E24="راسب"</formula>
    </cfRule>
  </conditionalFormatting>
  <conditionalFormatting sqref="E24:J24">
    <cfRule type="expression" dxfId="22" priority="58">
      <formula>$E24="مقبول"</formula>
    </cfRule>
    <cfRule type="expression" dxfId="21" priority="59">
      <formula>$E24="جيد"</formula>
    </cfRule>
    <cfRule type="expression" dxfId="20" priority="60">
      <formula>$E24="جيد جداً"</formula>
    </cfRule>
    <cfRule type="expression" dxfId="19" priority="61">
      <formula>$E24="ممتاز"</formula>
    </cfRule>
  </conditionalFormatting>
  <conditionalFormatting sqref="H8 H10:H21">
    <cfRule type="containsText" dxfId="18" priority="39" operator="containsText" text="ممتاز">
      <formula>NOT(ISERROR(SEARCH("ممتاز",H8)))</formula>
    </cfRule>
    <cfRule type="containsText" dxfId="17" priority="40" operator="containsText" text="جيد جداً">
      <formula>NOT(ISERROR(SEARCH("جيد جداً",H8)))</formula>
    </cfRule>
    <cfRule type="containsText" dxfId="16" priority="41" operator="containsText" text="جيد">
      <formula>NOT(ISERROR(SEARCH("جيد",H8)))</formula>
    </cfRule>
    <cfRule type="containsText" dxfId="15" priority="42" operator="containsText" text="مقبول">
      <formula>NOT(ISERROR(SEARCH("مقبول",H8)))</formula>
    </cfRule>
    <cfRule type="containsText" dxfId="14" priority="43" operator="containsText" text="راسب">
      <formula>NOT(ISERROR(SEARCH("راسب",H8)))</formula>
    </cfRule>
  </conditionalFormatting>
  <conditionalFormatting sqref="H8 H10:H21">
    <cfRule type="containsText" dxfId="13" priority="38" operator="containsText" text="أدخل العلامة">
      <formula>NOT(ISERROR(SEARCH("أدخل العلامة",H8)))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25:J25">
    <cfRule type="containsText" dxfId="8" priority="15" operator="containsText" text="أدخل اسم المحكم">
      <formula>NOT(ISERROR(SEARCH("أدخل اسم المحكم",G25)))</formula>
    </cfRule>
  </conditionalFormatting>
  <conditionalFormatting sqref="F8 F10:F21">
    <cfRule type="containsText" dxfId="7" priority="14" operator="containsText" text="أدخل العلامة">
      <formula>NOT(ISERROR(SEARCH("أدخل العلامة",F8)))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F8 F10:F17 F19:F21</xm:sqref>
        </x14:dataValidation>
        <x14:dataValidation type="list" allowBlank="1" showInputMessage="1" showErrorMessage="1">
          <x14:formula1>
            <xm:f>#REF!</xm:f>
          </x14:formula1>
          <xm:sqref>G25:J25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2026-08-30T05:05:49Z</dcterms:modified>
</cp:coreProperties>
</file>