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8" i="2" l="1"/>
  <c r="H8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<sst xmlns="http://schemas.openxmlformats.org/spreadsheetml/2006/main" count="47" uniqueCount="38">
  <si>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</si>
  <si>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</si>
  <si>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</si>
  <si>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</si>
  <si>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</si>
  <si>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</si>
  <si>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</si>
  <si>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</si>
  <si>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</si>
  <si>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</si>
  <si>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</si>
  <si>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</si>
  <si>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</si>
  <si>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</si>
  <si>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</si>
  <si>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</si>
  <si>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</si>
  <si>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</si>
  <si>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</si>
  <si>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</si>
  <si>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</si>
  <si>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</si>
  <si>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</si>
  <si>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</si>
  <si>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</si>
  <si>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</si>
  <si>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</si>
  <si>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</si>
  <si>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العمل كمستشار فني لقائد اللواء وهيئة الركن فيما يخص أمور الاتصالات.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</si>
  <si>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التأكد من أنّ شبكة الاتصالات اللاسلكية التعبوية لمجموعة اللواء تُسْند القيادة والسيطرة.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</si>
  <si>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تفهم خطة المناورة لمجموعة اللواء والوحدات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</si>
  <si>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 xml:space="preserve">تنسيق وتخصيص الترددات للوحدات المرؤوسة وإصدار تعليمات الإشارة.  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</si>
  <si>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وضع مخططات الاتصالات السلكية واللاسلكية التي تخدم مجموعة اللواء ومراقبة تنفيذها.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</si>
  <si>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التنسيق فيما يخص متطلبات مجموعة اللواء من المعدات الإشارية والإشراف على استخدام معدات الاتصالات.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</si>
  <si>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البقاء على اطلاع تام بالموقف التعبوي والتأكد من أن كافة الأمور المتعلقة بالاتصالات تسند عمليات مجموعة اللواء.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</si>
  <si>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المشاركة في إعداد فقرة القيادة والاتصالات في أوامر العمليات لمجموعة اللواء.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</si>
  <si>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 xml:space="preserve">تخطيط المواقع البديلة والثانوية لمعدات الاتصال لضمان استمرارية الاتصالات. </t>
    </r>
  </si>
  <si>
    <t>تقييم قائد سرية الإشارة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</si>
</sst>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0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right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9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7" xfId="0" applyNumberFormat="1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0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50" t="s">
        <v>37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25">
      <c r="B2" s="10" t="s">
        <v>8</v>
      </c>
      <c r="C2" s="34" t="s">
        <v>23</v>
      </c>
      <c r="D2" s="34"/>
      <c r="E2" s="10" t="s">
        <v>7</v>
      </c>
      <c r="F2" s="29" t="s">
        <v>22</v>
      </c>
      <c r="G2" s="29"/>
      <c r="H2" s="29"/>
      <c r="I2" s="29"/>
      <c r="J2" s="29"/>
    </row>
    <row r="3" spans="1:10" ht="30" customHeight="1" x14ac:dyDescent="0.25">
      <c r="B3" s="10" t="s">
        <v>9</v>
      </c>
      <c r="C3" s="34" t="s">
        <v>25</v>
      </c>
      <c r="D3" s="34"/>
      <c r="E3" s="10" t="s">
        <v>6</v>
      </c>
      <c r="F3" s="34" t="s">
        <v>24</v>
      </c>
      <c r="G3" s="34"/>
      <c r="H3" s="34"/>
      <c r="I3" s="34"/>
      <c r="J3" s="34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30" t="s">
        <v>0</v>
      </c>
      <c r="C5" s="31"/>
      <c r="D5" s="31"/>
      <c r="E5" s="39" t="s">
        <v>1</v>
      </c>
      <c r="F5" s="39"/>
      <c r="G5" s="39"/>
      <c r="H5" s="39"/>
      <c r="I5" s="39" t="s">
        <v>2</v>
      </c>
      <c r="J5" s="40"/>
    </row>
    <row r="6" spans="1:10" ht="24.95" customHeight="1" thickBot="1" x14ac:dyDescent="0.3">
      <c r="A6" s="8"/>
      <c r="B6" s="32"/>
      <c r="C6" s="33"/>
      <c r="D6" s="33"/>
      <c r="E6" s="9" t="s">
        <v>3</v>
      </c>
      <c r="F6" s="9" t="s">
        <v>4</v>
      </c>
      <c r="G6" s="9" t="s">
        <v>15</v>
      </c>
      <c r="H6" s="9" t="s">
        <v>16</v>
      </c>
      <c r="I6" s="41"/>
      <c r="J6" s="42"/>
    </row>
    <row r="7" spans="1:10" ht="24.95" customHeight="1" x14ac:dyDescent="0.25">
      <c r="A7" s="8"/>
      <c r="B7" s="37" t="s">
        <v>13</v>
      </c>
      <c r="C7" s="38"/>
      <c r="D7" s="38"/>
      <c r="E7" s="12" t="s">
        <v>10</v>
      </c>
      <c r="F7" s="12" t="s">
        <v>11</v>
      </c>
      <c r="G7" s="12" t="s">
        <v>14</v>
      </c>
      <c r="H7" s="12" t="s">
        <v>12</v>
      </c>
      <c r="I7" s="43" t="s">
        <v>17</v>
      </c>
      <c r="J7" s="44"/>
    </row>
    <row r="8" spans="1:10" ht="39.950000000000003" customHeight="1" x14ac:dyDescent="0.25">
      <c r="A8" s="8"/>
      <c r="B8" s="17" t="s">
        <v>28</v>
      </c>
      <c r="C8" s="17"/>
      <c r="D8" s="17"/>
      <c r="E8" s="14">
        <v>10</v>
      </c>
      <c r="F8" s="11" t="s">
        <v>26</v>
      </c>
      <c r="G8" s="15" t="str">
        <f>IFERROR(F8/E8,"")</f>
        <v/>
      </c>
      <c r="H8" s="16" t="str">
        <f>_xlfn.IFS(F8="أدخل العلامة","",F8="لا ينطبق","تم الإلغاء",G8&gt;=90%,"ممتاز",G8&gt;=80%,"جيد جداً",G8&gt;=70%,"جيد",G8&gt;=60%,"مقبول",G8&lt;60%,"راسب")</f>
        <v/>
      </c>
      <c r="I8" s="18"/>
      <c r="J8" s="18"/>
    </row>
    <row r="9" spans="1:10" ht="39.950000000000003" customHeight="1" x14ac:dyDescent="0.25">
      <c r="A9" s="8"/>
      <c r="B9" s="17" t="s">
        <v>29</v>
      </c>
      <c r="C9" s="17"/>
      <c r="D9" s="17"/>
      <c r="E9" s="14">
        <v>10</v>
      </c>
      <c r="F9" s="11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18"/>
      <c r="J9" s="18"/>
    </row>
    <row r="10" spans="1:10" ht="39.950000000000003" customHeight="1" x14ac:dyDescent="0.25">
      <c r="A10" s="8"/>
      <c r="B10" s="17" t="s">
        <v>30</v>
      </c>
      <c r="C10" s="17"/>
      <c r="D10" s="17"/>
      <c r="E10" s="14">
        <v>10</v>
      </c>
      <c r="F10" s="11" t="s">
        <v>26</v>
      </c>
      <c r="G10" s="15" t="str">
        <f t="shared" ref="G10:G16" si="0">IFERROR(F10/E10,"")</f>
        <v/>
      </c>
      <c r="H10" s="16" t="str">
        <f t="shared" ref="H10:H16" si="1">_xlfn.IFS(F10="أدخل العلامة","",F10="لا ينطبق","تم الإلغاء",G10&gt;=90%,"ممتاز",G10&gt;=80%,"جيد جداً",G10&gt;=70%,"جيد",G10&gt;=60%,"مقبول",G10&lt;60%,"راسب")</f>
        <v/>
      </c>
      <c r="I10" s="18"/>
      <c r="J10" s="18"/>
    </row>
    <row r="11" spans="1:10" ht="39.950000000000003" customHeight="1" x14ac:dyDescent="0.25">
      <c r="A11" s="8"/>
      <c r="B11" s="17" t="s">
        <v>31</v>
      </c>
      <c r="C11" s="17"/>
      <c r="D11" s="17"/>
      <c r="E11" s="14">
        <v>15</v>
      </c>
      <c r="F11" s="11" t="s">
        <v>26</v>
      </c>
      <c r="G11" s="15" t="str">
        <f t="shared" si="0"/>
        <v/>
      </c>
      <c r="H11" s="16" t="str">
        <f t="shared" si="1"/>
        <v/>
      </c>
      <c r="I11" s="18"/>
      <c r="J11" s="18"/>
    </row>
    <row r="12" spans="1:10" ht="39.950000000000003" customHeight="1" x14ac:dyDescent="0.25">
      <c r="A12" s="8"/>
      <c r="B12" s="17" t="s">
        <v>32</v>
      </c>
      <c r="C12" s="17"/>
      <c r="D12" s="17"/>
      <c r="E12" s="14">
        <v>10</v>
      </c>
      <c r="F12" s="11" t="s">
        <v>26</v>
      </c>
      <c r="G12" s="15" t="str">
        <f t="shared" si="0"/>
        <v/>
      </c>
      <c r="H12" s="16" t="str">
        <f t="shared" si="1"/>
        <v/>
      </c>
      <c r="I12" s="18"/>
      <c r="J12" s="18"/>
    </row>
    <row r="13" spans="1:10" ht="39.950000000000003" customHeight="1" x14ac:dyDescent="0.25">
      <c r="A13" s="8"/>
      <c r="B13" s="17" t="s">
        <v>33</v>
      </c>
      <c r="C13" s="17"/>
      <c r="D13" s="17"/>
      <c r="E13" s="14">
        <v>10</v>
      </c>
      <c r="F13" s="11" t="s">
        <v>26</v>
      </c>
      <c r="G13" s="15" t="str">
        <f t="shared" si="0"/>
        <v/>
      </c>
      <c r="H13" s="16" t="str">
        <f t="shared" si="1"/>
        <v/>
      </c>
      <c r="I13" s="18"/>
      <c r="J13" s="18"/>
    </row>
    <row r="14" spans="1:10" ht="39.950000000000003" customHeight="1" x14ac:dyDescent="0.25">
      <c r="A14" s="8"/>
      <c r="B14" s="17" t="s">
        <v>34</v>
      </c>
      <c r="C14" s="17"/>
      <c r="D14" s="17"/>
      <c r="E14" s="14">
        <v>10</v>
      </c>
      <c r="F14" s="11" t="s">
        <v>26</v>
      </c>
      <c r="G14" s="15" t="str">
        <f t="shared" si="0"/>
        <v/>
      </c>
      <c r="H14" s="16" t="str">
        <f t="shared" si="1"/>
        <v/>
      </c>
      <c r="I14" s="18"/>
      <c r="J14" s="18"/>
    </row>
    <row r="15" spans="1:10" ht="39.950000000000003" customHeight="1" x14ac:dyDescent="0.25">
      <c r="A15" s="8"/>
      <c r="B15" s="17" t="s">
        <v>35</v>
      </c>
      <c r="C15" s="17"/>
      <c r="D15" s="17"/>
      <c r="E15" s="14">
        <v>10</v>
      </c>
      <c r="F15" s="11" t="s">
        <v>26</v>
      </c>
      <c r="G15" s="15" t="str">
        <f t="shared" si="0"/>
        <v/>
      </c>
      <c r="H15" s="16" t="str">
        <f t="shared" si="1"/>
        <v/>
      </c>
      <c r="I15" s="18"/>
      <c r="J15" s="18"/>
    </row>
    <row r="16" spans="1:10" ht="39.950000000000003" customHeight="1" x14ac:dyDescent="0.25">
      <c r="A16" s="8"/>
      <c r="B16" s="17" t="s">
        <v>36</v>
      </c>
      <c r="C16" s="17"/>
      <c r="D16" s="17"/>
      <c r="E16" s="14">
        <v>15</v>
      </c>
      <c r="F16" s="11" t="s">
        <v>26</v>
      </c>
      <c r="G16" s="15" t="str">
        <f t="shared" si="0"/>
        <v/>
      </c>
      <c r="H16" s="16" t="str">
        <f t="shared" si="1"/>
        <v/>
      </c>
      <c r="I16" s="18"/>
      <c r="J16" s="18"/>
    </row>
    <row r="17" spans="1:10" ht="30" customHeight="1" thickBot="1" x14ac:dyDescent="0.3">
      <c r="A17" s="3"/>
      <c r="B17" s="19" t="s">
        <v>5</v>
      </c>
      <c r="C17" s="20"/>
      <c r="D17" s="20"/>
      <c r="E17" s="13">
        <f>SUM(E8:E16)</f>
        <v>100</v>
      </c>
      <c r="F17" s="13">
        <f>SUM(F8:F16)</f>
        <v>0</v>
      </c>
      <c r="G17" s="47"/>
      <c r="H17" s="48"/>
      <c r="I17" s="48"/>
      <c r="J17" s="49"/>
    </row>
    <row r="18" spans="1:10" ht="30" customHeight="1" thickBot="1" x14ac:dyDescent="0.3">
      <c r="A18" s="3"/>
      <c r="B18" s="21" t="s">
        <v>20</v>
      </c>
      <c r="C18" s="22"/>
      <c r="D18" s="22"/>
      <c r="E18" s="35">
        <f>F17/E17/100*100</f>
        <v>0</v>
      </c>
      <c r="F18" s="35"/>
      <c r="G18" s="35"/>
      <c r="H18" s="35"/>
      <c r="I18" s="35"/>
      <c r="J18" s="36"/>
    </row>
    <row r="19" spans="1:10" ht="30" customHeight="1" thickBot="1" x14ac:dyDescent="0.3">
      <c r="A19" s="3"/>
      <c r="B19" s="21" t="s">
        <v>21</v>
      </c>
      <c r="C19" s="22"/>
      <c r="D19" s="22"/>
      <c r="E19" s="27" t="str">
        <f>_xlfn.IFS(E18&gt;=90%,"ممتاز",E18&gt;=80%,"جيد جداً",E18&gt;=70%,"جيد",E18&gt;=60%,"مقبول",E18&lt;60%,"راسب")</f>
        <v>راسب</v>
      </c>
      <c r="F19" s="27"/>
      <c r="G19" s="27"/>
      <c r="H19" s="27"/>
      <c r="I19" s="27"/>
      <c r="J19" s="28"/>
    </row>
    <row r="20" spans="1:10" ht="42" customHeight="1" x14ac:dyDescent="0.25">
      <c r="B20" s="23" t="s">
        <v>27</v>
      </c>
      <c r="C20" s="23"/>
      <c r="D20" s="23"/>
      <c r="E20" s="45" t="s">
        <v>18</v>
      </c>
      <c r="F20" s="45"/>
      <c r="G20" s="25" t="s">
        <v>24</v>
      </c>
      <c r="H20" s="25"/>
      <c r="I20" s="25"/>
      <c r="J20" s="25"/>
    </row>
    <row r="21" spans="1:10" ht="51" customHeight="1" x14ac:dyDescent="0.25">
      <c r="A21" s="4"/>
      <c r="B21" s="24"/>
      <c r="C21" s="24"/>
      <c r="D21" s="24"/>
      <c r="E21" s="46" t="s">
        <v>19</v>
      </c>
      <c r="F21" s="46"/>
      <c r="G21" s="26"/>
      <c r="H21" s="26"/>
      <c r="I21" s="26"/>
      <c r="J21" s="2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B1:J1"/>
    <mergeCell ref="F2:J2"/>
    <mergeCell ref="B5:D6"/>
    <mergeCell ref="C2:D2"/>
    <mergeCell ref="C3:D3"/>
    <mergeCell ref="F3:J3"/>
    <mergeCell ref="E18:J18"/>
    <mergeCell ref="B7:D7"/>
    <mergeCell ref="E5:H5"/>
    <mergeCell ref="I5:J6"/>
    <mergeCell ref="I7:J7"/>
    <mergeCell ref="I10:J10"/>
    <mergeCell ref="B17:D17"/>
    <mergeCell ref="B18:D18"/>
    <mergeCell ref="B19:D19"/>
    <mergeCell ref="I11:J11"/>
    <mergeCell ref="I12:J12"/>
    <mergeCell ref="I13:J13"/>
    <mergeCell ref="I14:J14"/>
    <mergeCell ref="I15:J15"/>
    <mergeCell ref="I16:J16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</mergeCells>
  <conditionalFormatting sqref="E19">
    <cfRule type="expression" dxfId="23" priority="57">
      <formula>$E19="راسب"</formula>
    </cfRule>
  </conditionalFormatting>
  <conditionalFormatting sqref="E19:J19">
    <cfRule type="expression" dxfId="22" priority="58">
      <formula>$E19="مقبول"</formula>
    </cfRule>
    <cfRule type="expression" dxfId="21" priority="59">
      <formula>$E19="جيد"</formula>
    </cfRule>
    <cfRule type="expression" dxfId="20" priority="60">
      <formula>$E19="جيد جداً"</formula>
    </cfRule>
    <cfRule type="expression" dxfId="19" priority="61">
      <formula>$E19="ممتاز"</formula>
    </cfRule>
  </conditionalFormatting>
  <conditionalFormatting sqref="H8 H10:H16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6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8" priority="15" operator="containsText" text="أدخل اسم المحكم">
      <formula>NOT(ISERROR(SEARCH("أدخل اسم المحكم",G20)))</formula>
    </cfRule>
  </conditionalFormatting>
  <conditionalFormatting sqref="F8 F10:F16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F8:F10 F12:F15</xm:sqref>
        </x14:dataValidation>
        <x14:dataValidation type="list" allowBlank="1" showInputMessage="1" showErrorMessage="1">
          <x14:formula1>
            <xm:f>#REF!</xm:f>
          </x14:formula1>
          <xm:sqref>G20:J20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F11 F16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2026-08-30T05:05:57Z</dcterms:modified>
</cp:coreProperties>
</file>