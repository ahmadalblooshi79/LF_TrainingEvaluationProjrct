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8" i="2" l="1"/>
  <c r="H8" i="2" s="1"/>
  <c r="F12" i="2" l="1"/>
  <c r="E12" i="2" l="1"/>
  <c r="E13" i="2" l="1"/>
  <c r="E14" i="2" s="1"/>
</calcChain>
</file>

<file path=xl/sharedStrings.xml><?xml version="1.0" encoding="utf-8"?>
<sst xmlns="http://schemas.openxmlformats.org/spreadsheetml/2006/main" count="37" uniqueCount="33">
  <si>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</si>
  <si>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</si>
  <si>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</si>
  <si>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</si>
  <si>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</si>
  <si>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</si>
  <si>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</si>
  <si>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</si>
  <si>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</si>
  <si>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</si>
  <si>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</si>
  <si>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</si>
  <si>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</si>
  <si>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</si>
  <si>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</si>
  <si>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</si>
  <si>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</si>
  <si>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</si>
  <si>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</si>
  <si>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</si>
  <si>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</si>
  <si>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</si>
  <si>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</si>
  <si>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</si>
  <si>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</si>
  <si>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</si>
  <si>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</si>
  <si>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</si>
  <si>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جميع أنواع الاتصالات السلكية واللاسلكية.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</si>
  <si>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والاتصالات (C4I).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</si>
  <si>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معرفة قوة الإشارة بين المحطات.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</si>
  <si>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أدامة الاتصالات بشكل مستمر.</t>
    </r>
  </si>
  <si>
    <t xml:space="preserve">تقييم تجارب سرية الإشارة – العمليات التعرضية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</si>
</sst>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8" fillId="0" borderId="18" xfId="0" applyFont="1" applyBorder="1" applyAlignment="1">
      <alignment horizontal="right" vertical="center" wrapText="1" readingOrder="2"/>
    </xf>
    <xf numFmtId="0" fontId="8" fillId="0" borderId="1" xfId="0" applyFont="1" applyBorder="1" applyAlignment="1">
      <alignment horizontal="right" vertical="center" wrapText="1" readingOrder="2"/>
    </xf>
    <xf numFmtId="0" fontId="8" fillId="0" borderId="19" xfId="0" applyFont="1" applyBorder="1" applyAlignment="1">
      <alignment horizontal="right" vertical="center" wrapText="1" readingOrder="2"/>
    </xf>
    <xf numFmtId="0" fontId="8" fillId="0" borderId="20" xfId="0" applyFont="1" applyBorder="1" applyAlignment="1">
      <alignment horizontal="right" vertical="center" wrapText="1" readingOrder="2"/>
    </xf>
    <xf numFmtId="0" fontId="8" fillId="0" borderId="0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58" t="s">
        <v>32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25">
      <c r="B2" s="18" t="s">
        <v>8</v>
      </c>
      <c r="C2" s="43" t="s">
        <v>23</v>
      </c>
      <c r="D2" s="43"/>
      <c r="E2" s="18" t="s">
        <v>7</v>
      </c>
      <c r="F2" s="38" t="s">
        <v>22</v>
      </c>
      <c r="G2" s="38"/>
      <c r="H2" s="38"/>
      <c r="I2" s="38"/>
      <c r="J2" s="38"/>
    </row>
    <row r="3" spans="1:10" ht="30" customHeight="1" x14ac:dyDescent="0.25">
      <c r="B3" s="18" t="s">
        <v>9</v>
      </c>
      <c r="C3" s="43" t="s">
        <v>25</v>
      </c>
      <c r="D3" s="43"/>
      <c r="E3" s="18" t="s">
        <v>6</v>
      </c>
      <c r="F3" s="43" t="s">
        <v>24</v>
      </c>
      <c r="G3" s="43"/>
      <c r="H3" s="43"/>
      <c r="I3" s="43"/>
      <c r="J3" s="43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15"/>
      <c r="B5" s="39" t="s">
        <v>0</v>
      </c>
      <c r="C5" s="40"/>
      <c r="D5" s="40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3">
      <c r="A6" s="15"/>
      <c r="B6" s="41"/>
      <c r="C6" s="42"/>
      <c r="D6" s="42"/>
      <c r="E6" s="16" t="s">
        <v>3</v>
      </c>
      <c r="F6" s="16" t="s">
        <v>4</v>
      </c>
      <c r="G6" s="16" t="s">
        <v>15</v>
      </c>
      <c r="H6" s="16" t="s">
        <v>16</v>
      </c>
      <c r="I6" s="50"/>
      <c r="J6" s="51"/>
    </row>
    <row r="7" spans="1:10" ht="24.95" customHeight="1" thickBot="1" x14ac:dyDescent="0.3">
      <c r="A7" s="15"/>
      <c r="B7" s="46" t="s">
        <v>13</v>
      </c>
      <c r="C7" s="47"/>
      <c r="D7" s="47"/>
      <c r="E7" s="17" t="s">
        <v>10</v>
      </c>
      <c r="F7" s="17" t="s">
        <v>11</v>
      </c>
      <c r="G7" s="17" t="s">
        <v>14</v>
      </c>
      <c r="H7" s="17" t="s">
        <v>12</v>
      </c>
      <c r="I7" s="29" t="s">
        <v>17</v>
      </c>
      <c r="J7" s="52"/>
    </row>
    <row r="8" spans="1:10" ht="30" customHeight="1" x14ac:dyDescent="0.25">
      <c r="A8" s="15"/>
      <c r="B8" s="20" t="s">
        <v>28</v>
      </c>
      <c r="C8" s="21"/>
      <c r="D8" s="22"/>
      <c r="E8" s="9">
        <v>10</v>
      </c>
      <c r="F8" s="10" t="s">
        <v>26</v>
      </c>
      <c r="G8" s="11" t="str">
        <f>IFERROR(F8/E8,"")</f>
        <v/>
      </c>
      <c r="H8" s="8" t="str">
        <f>_xlfn.IFS(F8="أدخل العلامة","",F8="لا ينطبق","تم الإلغاء",G8&gt;=90%,"ممتاز",G8&gt;=80%,"جيد جداً",G8&gt;=70%,"جيد",G8&gt;=60%,"مقبول",G8&lt;60%,"راسب")</f>
        <v/>
      </c>
      <c r="I8" s="26"/>
      <c r="J8" s="27"/>
    </row>
    <row r="9" spans="1:10" ht="30" customHeight="1" x14ac:dyDescent="0.25">
      <c r="A9" s="15"/>
      <c r="B9" s="23" t="s">
        <v>29</v>
      </c>
      <c r="C9" s="24"/>
      <c r="D9" s="25"/>
      <c r="E9" s="9">
        <v>10</v>
      </c>
      <c r="F9" s="19" t="s">
        <v>26</v>
      </c>
      <c r="G9" s="11" t="str">
        <f>IFERROR(F9/E9,"")</f>
        <v/>
      </c>
      <c r="H9" s="8" t="str">
        <f>_xlfn.IFS(F9="أدخل العلامة","",F9="لا ينطبق","تم الإلغاء",G9&gt;=90%,"ممتاز",G9&gt;=80%,"جيد جداً",G9&gt;=70%,"جيد",G9&gt;=60%,"مقبول",G9&lt;60%,"راسب")</f>
        <v/>
      </c>
      <c r="I9" s="26"/>
      <c r="J9" s="27"/>
    </row>
    <row r="10" spans="1:10" ht="30" customHeight="1" x14ac:dyDescent="0.25">
      <c r="A10" s="15"/>
      <c r="B10" s="23" t="s">
        <v>30</v>
      </c>
      <c r="C10" s="24"/>
      <c r="D10" s="25"/>
      <c r="E10" s="12">
        <v>10</v>
      </c>
      <c r="F10" s="14" t="s">
        <v>26</v>
      </c>
      <c r="G10" s="11" t="str">
        <f t="shared" ref="G10:G11" si="0">IFERROR(F10/E10,"")</f>
        <v/>
      </c>
      <c r="H10" s="8" t="str">
        <f t="shared" ref="H10:H11" si="1">_xlfn.IFS(F10="أدخل العلامة","",F10="لا ينطبق","تم الإلغاء",G10&gt;=90%,"ممتاز",G10&gt;=80%,"جيد جداً",G10&gt;=70%,"جيد",G10&gt;=60%,"مقبول",G10&lt;60%,"راسب")</f>
        <v/>
      </c>
      <c r="I10" s="30"/>
      <c r="J10" s="31"/>
    </row>
    <row r="11" spans="1:10" ht="30" customHeight="1" thickBot="1" x14ac:dyDescent="0.3">
      <c r="A11" s="15"/>
      <c r="B11" s="23" t="s">
        <v>31</v>
      </c>
      <c r="C11" s="24"/>
      <c r="D11" s="25"/>
      <c r="E11" s="9">
        <v>10</v>
      </c>
      <c r="F11" s="14" t="s">
        <v>26</v>
      </c>
      <c r="G11" s="11" t="str">
        <f t="shared" si="0"/>
        <v/>
      </c>
      <c r="H11" s="8" t="str">
        <f t="shared" si="1"/>
        <v/>
      </c>
      <c r="I11" s="30"/>
      <c r="J11" s="31"/>
    </row>
    <row r="12" spans="1:10" ht="30" customHeight="1" thickBot="1" x14ac:dyDescent="0.3">
      <c r="A12" s="3"/>
      <c r="B12" s="28" t="s">
        <v>5</v>
      </c>
      <c r="C12" s="29"/>
      <c r="D12" s="29"/>
      <c r="E12" s="13">
        <f>SUM(E8:E11)</f>
        <v>40</v>
      </c>
      <c r="F12" s="13">
        <f>SUM(F8:F11)</f>
        <v>0</v>
      </c>
      <c r="G12" s="55"/>
      <c r="H12" s="56"/>
      <c r="I12" s="56"/>
      <c r="J12" s="57"/>
    </row>
    <row r="13" spans="1:10" ht="30" customHeight="1" thickBot="1" x14ac:dyDescent="0.3">
      <c r="A13" s="3"/>
      <c r="B13" s="28" t="s">
        <v>20</v>
      </c>
      <c r="C13" s="29"/>
      <c r="D13" s="29"/>
      <c r="E13" s="44">
        <f>F12/E12/100*100</f>
        <v>0</v>
      </c>
      <c r="F13" s="44"/>
      <c r="G13" s="44"/>
      <c r="H13" s="44"/>
      <c r="I13" s="44"/>
      <c r="J13" s="45"/>
    </row>
    <row r="14" spans="1:10" ht="30" customHeight="1" thickBot="1" x14ac:dyDescent="0.3">
      <c r="A14" s="3"/>
      <c r="B14" s="28" t="s">
        <v>21</v>
      </c>
      <c r="C14" s="29"/>
      <c r="D14" s="29"/>
      <c r="E14" s="36" t="str">
        <f>_xlfn.IFS(E13&gt;=90%,"ممتاز",E13&gt;=80%,"جيد جداً",E13&gt;=70%,"جيد",E13&gt;=60%,"مقبول",E13&lt;60%,"راسب")</f>
        <v>راسب</v>
      </c>
      <c r="F14" s="36"/>
      <c r="G14" s="36"/>
      <c r="H14" s="36"/>
      <c r="I14" s="36"/>
      <c r="J14" s="37"/>
    </row>
    <row r="15" spans="1:10" ht="42" customHeight="1" x14ac:dyDescent="0.25">
      <c r="B15" s="32" t="s">
        <v>27</v>
      </c>
      <c r="C15" s="32"/>
      <c r="D15" s="32"/>
      <c r="E15" s="53" t="s">
        <v>18</v>
      </c>
      <c r="F15" s="53"/>
      <c r="G15" s="34" t="s">
        <v>24</v>
      </c>
      <c r="H15" s="34"/>
      <c r="I15" s="34"/>
      <c r="J15" s="34"/>
    </row>
    <row r="16" spans="1:10" ht="51" customHeight="1" x14ac:dyDescent="0.25">
      <c r="A16" s="4"/>
      <c r="B16" s="33"/>
      <c r="C16" s="33"/>
      <c r="D16" s="33"/>
      <c r="E16" s="54" t="s">
        <v>19</v>
      </c>
      <c r="F16" s="54"/>
      <c r="G16" s="35"/>
      <c r="H16" s="35"/>
      <c r="I16" s="35"/>
      <c r="J16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9">
    <mergeCell ref="B7:D7"/>
    <mergeCell ref="E5:H5"/>
    <mergeCell ref="I5:J6"/>
    <mergeCell ref="I7:J7"/>
    <mergeCell ref="I10:J10"/>
    <mergeCell ref="I9:J9"/>
    <mergeCell ref="B1:J1"/>
    <mergeCell ref="F2:J2"/>
    <mergeCell ref="B5:D6"/>
    <mergeCell ref="C2:D2"/>
    <mergeCell ref="C3:D3"/>
    <mergeCell ref="F3:J3"/>
    <mergeCell ref="B12:D12"/>
    <mergeCell ref="B13:D13"/>
    <mergeCell ref="B14:D14"/>
    <mergeCell ref="I11:J11"/>
    <mergeCell ref="B15:D16"/>
    <mergeCell ref="G15:J15"/>
    <mergeCell ref="G16:J16"/>
    <mergeCell ref="E14:J14"/>
    <mergeCell ref="E13:J13"/>
    <mergeCell ref="E15:F15"/>
    <mergeCell ref="E16:F16"/>
    <mergeCell ref="G12:J12"/>
    <mergeCell ref="B8:D8"/>
    <mergeCell ref="B9:D9"/>
    <mergeCell ref="B10:D10"/>
    <mergeCell ref="B11:D11"/>
    <mergeCell ref="I8:J8"/>
  </mergeCells>
  <conditionalFormatting sqref="E14">
    <cfRule type="expression" dxfId="23" priority="57">
      <formula>$E14="راسب"</formula>
    </cfRule>
  </conditionalFormatting>
  <conditionalFormatting sqref="E14:J14">
    <cfRule type="expression" dxfId="22" priority="58">
      <formula>$E14="مقبول"</formula>
    </cfRule>
    <cfRule type="expression" dxfId="21" priority="59">
      <formula>$E14="جيد"</formula>
    </cfRule>
    <cfRule type="expression" dxfId="20" priority="60">
      <formula>$E14="جيد جداً"</formula>
    </cfRule>
    <cfRule type="expression" dxfId="19" priority="61">
      <formula>$E14="ممتاز"</formula>
    </cfRule>
  </conditionalFormatting>
  <conditionalFormatting sqref="H8 H10:H11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1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5:J15">
    <cfRule type="containsText" dxfId="8" priority="15" operator="containsText" text="أدخل اسم المحكم">
      <formula>NOT(ISERROR(SEARCH("أدخل اسم المحكم",G15)))</formula>
    </cfRule>
  </conditionalFormatting>
  <conditionalFormatting sqref="F8 F10:F11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F8:F11</xm:sqref>
        </x14:dataValidation>
        <x14:dataValidation type="list" allowBlank="1" showInputMessage="1" showErrorMessage="1">
          <x14:formula1>
            <xm:f>#REF!</xm:f>
          </x14:formula1>
          <xm:sqref>G15:J15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2026-08-30T05:05:33Z</dcterms:modified>
</cp:coreProperties>
</file>