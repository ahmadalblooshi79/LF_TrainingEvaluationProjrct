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/>
  <bookViews>
    <workbookView xWindow="-105" yWindow="-105" windowWidth="23250" windowHeight="12570"/>
  </bookViews>
  <sheets>
    <sheet name="قائمة التقييم" sheetId="2" r:id="rId1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التقييم'!$A$1:$J$53</definedName>
    <definedName name="_xlnm.Print_Titles" localSheetId="0">'قائمة التقييم'!$7:$7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1" i="2" l="1"/>
  <c r="H11" i="2" s="1"/>
  <c r="G13" i="2"/>
  <c r="H13" i="2" s="1"/>
  <c r="G14" i="2"/>
  <c r="H14" i="2" s="1"/>
  <c r="G15" i="2"/>
  <c r="H15" i="2" s="1"/>
  <c r="G16" i="2"/>
  <c r="H16" i="2" s="1"/>
  <c r="G17" i="2"/>
  <c r="H17" i="2" s="1"/>
  <c r="G19" i="2"/>
  <c r="H19" i="2" s="1"/>
  <c r="G20" i="2"/>
  <c r="H20" i="2" s="1"/>
  <c r="G23" i="2"/>
  <c r="H23" i="2" s="1"/>
  <c r="G24" i="2"/>
  <c r="H24" i="2" s="1"/>
  <c r="G25" i="2"/>
  <c r="H25" i="2" s="1"/>
  <c r="G27" i="2"/>
  <c r="H27" i="2" s="1"/>
  <c r="G28" i="2"/>
  <c r="H28" i="2" s="1"/>
  <c r="G29" i="2"/>
  <c r="H29" i="2" s="1"/>
  <c r="G30" i="2"/>
  <c r="H30" i="2" s="1"/>
  <c r="G33" i="2"/>
  <c r="H33" i="2" s="1"/>
  <c r="G34" i="2"/>
  <c r="H34" i="2" s="1"/>
  <c r="G36" i="2"/>
  <c r="H36" i="2" s="1"/>
  <c r="G37" i="2"/>
  <c r="H37" i="2" s="1"/>
  <c r="G38" i="2"/>
  <c r="H38" i="2" s="1"/>
  <c r="G39" i="2"/>
  <c r="H39" i="2" s="1"/>
  <c r="G40" i="2"/>
  <c r="H40" i="2" s="1"/>
  <c r="G41" i="2"/>
  <c r="H41" i="2" s="1"/>
  <c r="G42" i="2"/>
  <c r="H42" i="2" s="1"/>
  <c r="G43" i="2"/>
  <c r="H43" i="2" s="1"/>
  <c r="G44" i="2"/>
  <c r="H44" i="2" s="1"/>
  <c r="G45" i="2"/>
  <c r="H45" i="2" s="1"/>
  <c r="G46" i="2"/>
  <c r="H46" i="2" s="1"/>
  <c r="G47" i="2"/>
  <c r="H47" i="2" s="1"/>
  <c r="G48" i="2"/>
  <c r="H48" i="2" s="1"/>
  <c r="F49" i="2" l="1"/>
  <c r="E49" i="2" l="1"/>
  <c r="E50" i="2" l="1"/>
  <c r="E51" i="2" s="1"/>
</calcChain>
</file>

<file path=xl/sharedStrings.xml><?xml version="1.0" encoding="utf-8"?>
<sst xmlns="http://schemas.openxmlformats.org/spreadsheetml/2006/main" count="100" uniqueCount="70">
  <si>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</si>
  <si>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</si>
  <si>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</si>
  <si>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</si>
  <si>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</si>
  <si>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</si>
  <si>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</si>
  <si>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</si>
  <si>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</si>
  <si>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</si>
  <si>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</si>
  <si>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</si>
  <si>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</si>
  <si>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</si>
  <si>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</si>
  <si>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</si>
  <si>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</si>
  <si>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</si>
  <si>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</si>
  <si>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</si>
  <si>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</si>
  <si>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</si>
  <si>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</si>
  <si>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</si>
  <si>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أدخل اسم المحكم</t>
  </si>
  <si>
    <t>أدخل اسم قائد الوحدة الخاضعة للتقييم</t>
  </si>
  <si>
    <t>أدخل العلامة</t>
  </si>
  <si>
    <r>
      <t>ملاحظـــات:</t>
    </r>
    <r>
      <rPr>
        <sz val="14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</si>
  <si>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إجراءات التخطيط.</t>
  </si>
  <si>
    <t>ملاحظة: يتم التخطيط لواجب تأسيس قاعدة إسناد بالنيران بنفس الأسلوب وبنفس الإجراءات للهجوم المدبر.</t>
  </si>
  <si>
    <t>(3)   ممرات الحركة من منطقة التجمع وحتى الأهداف.</t>
  </si>
  <si>
    <t>(4)   تأشير خط البدء وخط الانفتاح المحتمل.</t>
  </si>
  <si>
    <t>(5)   تحديد المكان الأولي لتأسيس قاعدة الإسناد بالنيران (حسب أمر عمليات الكتيبة/ مجموعة القتال)</t>
  </si>
  <si>
    <t>(6)   تأشير الأماكن المحتملة لكمائن العدو على طول طرق الحركة.</t>
  </si>
  <si>
    <t>جـ.   الحصول على المعلومات الاستخبارية من المستوى الأعلى.</t>
  </si>
  <si>
    <t>إجراءات التحضير.</t>
  </si>
  <si>
    <t>ملاحظة:     يتم التحضير للهجوم في منطقة الحشد قبل الحركة إلى منطقة التجمع ويشمل التحضير الأفراد والمعدات والأسلحة والآليات ويتم تنفيذ الإجراءات التالية:</t>
  </si>
  <si>
    <t>أ.    أسلوب الحركة والتشكيلة حتى منطقة التشكيل.</t>
  </si>
  <si>
    <t>ب.  الحركة من منطقة التشكيل وحتى موقع تأسيس قاعدة الإسناد بالنيران.</t>
  </si>
  <si>
    <t>جـ.  العمل عند التماس مع العدو أثناء الحركة.</t>
  </si>
  <si>
    <t>د.   أسلوب تأسيس قاعدة الإسناد (موقع الفصائل والأسلحة الملحقة وأقواس المسؤولية) .</t>
  </si>
  <si>
    <t>هـ.   إجراءات السيطرة لتقديم نيران الإسناد وتحويل أو رفع النيران.</t>
  </si>
  <si>
    <t>و.   العمل عند التعرض لهجوم من قبل قوات العدو.</t>
  </si>
  <si>
    <t>إجراءات التنفيذ.</t>
  </si>
  <si>
    <r>
      <t>1.</t>
    </r>
    <r>
      <rPr>
        <sz val="7"/>
        <color theme="1"/>
        <rFont val="Arial"/>
        <family val="2"/>
      </rPr>
      <t xml:space="preserve"> </t>
    </r>
    <r>
      <rPr>
        <sz val="12"/>
        <color rgb="FF000000"/>
        <rFont val="Arial"/>
        <family val="2"/>
      </rPr>
      <t xml:space="preserve">   تستلم السرية أمر العمليات من المستوى الأعلى ويتم القيام بما يلي:</t>
    </r>
  </si>
  <si>
    <r>
      <t>أ‌.</t>
    </r>
    <r>
      <rPr>
        <sz val="7"/>
        <color rgb="FF000000"/>
        <rFont val="Arial"/>
        <family val="2"/>
      </rPr>
      <t xml:space="preserve">      </t>
    </r>
    <r>
      <rPr>
        <sz val="12"/>
        <color rgb="FF000000"/>
        <rFont val="Arial"/>
        <family val="2"/>
      </rPr>
      <t xml:space="preserve">   البدء بإجراءات التخطيط من خلال إجراءات المعركة الثمانية </t>
    </r>
    <r>
      <rPr>
        <sz val="12"/>
        <color theme="1"/>
        <rFont val="Arial"/>
        <family val="2"/>
      </rPr>
      <t>(استلام المهمة - إصدار الأمر الإنذاري - عمل خطة أولية - بدء الحركة – الاستطلاع - إكمال الخطة - إصدار الأمر – الإشراف والمراقبة)</t>
    </r>
    <r>
      <rPr>
        <sz val="12"/>
        <color rgb="FF000000"/>
        <rFont val="Arial"/>
        <family val="2"/>
      </rPr>
      <t>.</t>
    </r>
  </si>
  <si>
    <r>
      <t>ب‌.</t>
    </r>
    <r>
      <rPr>
        <sz val="7"/>
        <color rgb="FF000000"/>
        <rFont val="Arial"/>
        <family val="2"/>
      </rPr>
      <t xml:space="preserve">    </t>
    </r>
    <r>
      <rPr>
        <sz val="12"/>
        <color rgb="FF000000"/>
        <rFont val="Arial"/>
        <family val="2"/>
      </rPr>
      <t xml:space="preserve"> تنفيذ الاستطلاع من الخارطة وتحديد ما يلي بشكل أولي:</t>
    </r>
  </si>
  <si>
    <r>
      <t>(1)</t>
    </r>
    <r>
      <rPr>
        <sz val="7"/>
        <color rgb="FF000000"/>
        <rFont val="Arial"/>
        <family val="2"/>
      </rPr>
      <t xml:space="preserve">  </t>
    </r>
    <r>
      <rPr>
        <sz val="12"/>
        <color rgb="FF000000"/>
        <rFont val="Arial"/>
        <family val="2"/>
      </rPr>
      <t xml:space="preserve"> مناطق التجمع للفصائل والوحدات المساندة للسرايا.</t>
    </r>
  </si>
  <si>
    <r>
      <t>(2)</t>
    </r>
    <r>
      <rPr>
        <sz val="7"/>
        <color rgb="FF000000"/>
        <rFont val="Arial"/>
        <family val="2"/>
      </rPr>
      <t xml:space="preserve">  </t>
    </r>
    <r>
      <rPr>
        <sz val="12"/>
        <color rgb="FF000000"/>
        <rFont val="Arial"/>
        <family val="2"/>
      </rPr>
      <t xml:space="preserve"> طرق الحركة لمنطقة التجمع.</t>
    </r>
  </si>
  <si>
    <r>
      <t>2.</t>
    </r>
    <r>
      <rPr>
        <sz val="7"/>
        <color theme="1"/>
        <rFont val="Arial"/>
        <family val="2"/>
      </rPr>
      <t xml:space="preserve"> </t>
    </r>
    <r>
      <rPr>
        <sz val="12"/>
        <color rgb="FF000000"/>
        <rFont val="Arial"/>
        <family val="2"/>
      </rPr>
      <t xml:space="preserve">  إصدار أمر العمليات للوحدات المرؤوسة، وتقديم ايجازات تأكيدية من قبل القادة المرؤوسين للتأكد من أنهم يفهمون قصد قائد السرية ومفهوم عملياته.</t>
    </r>
  </si>
  <si>
    <r>
      <t>1.</t>
    </r>
    <r>
      <rPr>
        <sz val="7"/>
        <color rgb="FF000000"/>
        <rFont val="Arial"/>
        <family val="2"/>
      </rPr>
      <t xml:space="preserve">   </t>
    </r>
    <r>
      <rPr>
        <sz val="12"/>
        <color rgb="FF000000"/>
        <rFont val="Arial"/>
        <family val="2"/>
      </rPr>
      <t xml:space="preserve">  تنقيح الخطة بناءً على الاستخبارات المحدثة باستمرار. </t>
    </r>
  </si>
  <si>
    <r>
      <t>2.</t>
    </r>
    <r>
      <rPr>
        <sz val="7"/>
        <color rgb="FF000000"/>
        <rFont val="Arial"/>
        <family val="2"/>
      </rPr>
      <t xml:space="preserve">   </t>
    </r>
    <r>
      <rPr>
        <sz val="12"/>
        <color rgb="FF000000"/>
        <rFont val="Arial"/>
        <family val="2"/>
      </rPr>
      <t xml:space="preserve">  تنفيذ تفتيشات وتفقدات ما قبل القتال.</t>
    </r>
  </si>
  <si>
    <r>
      <t>3.</t>
    </r>
    <r>
      <rPr>
        <sz val="7"/>
        <color rgb="FF000000"/>
        <rFont val="Arial"/>
        <family val="2"/>
      </rPr>
      <t xml:space="preserve">   </t>
    </r>
    <r>
      <rPr>
        <sz val="12"/>
        <color rgb="FF000000"/>
        <rFont val="Arial"/>
        <family val="2"/>
      </rPr>
      <t xml:space="preserve">  الإشراف على إجراءات المعركة للفصائل لضمان أن إجراءات التخطيط والتحضير تتم بطريقة صحيحة وتتفق مع قصد القائد.</t>
    </r>
  </si>
  <si>
    <r>
      <t>4.</t>
    </r>
    <r>
      <rPr>
        <sz val="7"/>
        <color theme="1"/>
        <rFont val="Arial"/>
        <family val="2"/>
      </rPr>
      <t xml:space="preserve">  </t>
    </r>
    <r>
      <rPr>
        <sz val="12"/>
        <color rgb="FF000000"/>
        <rFont val="Arial"/>
        <family val="2"/>
      </rPr>
      <t xml:space="preserve">  تنفيذ التجارب على تأسيس قاعدة الاسناد بالنيران مع التركيز على ما يلي:  </t>
    </r>
  </si>
  <si>
    <r>
      <t>5.</t>
    </r>
    <r>
      <rPr>
        <sz val="7"/>
        <color theme="1"/>
        <rFont val="Arial"/>
        <family val="2"/>
      </rPr>
      <t xml:space="preserve">  </t>
    </r>
    <r>
      <rPr>
        <sz val="12"/>
        <color rgb="FF000000"/>
        <rFont val="Arial"/>
        <family val="2"/>
      </rPr>
      <t xml:space="preserve">  إجراء التعديلات على الخطة بناءً على التجارب وحسب الحاجة.</t>
    </r>
  </si>
  <si>
    <r>
      <t>6.</t>
    </r>
    <r>
      <rPr>
        <sz val="7"/>
        <color theme="1"/>
        <rFont val="Arial"/>
        <family val="2"/>
      </rPr>
      <t xml:space="preserve">  </t>
    </r>
    <r>
      <rPr>
        <sz val="12"/>
        <color rgb="FF000000"/>
        <rFont val="Arial"/>
        <family val="2"/>
      </rPr>
      <t>توضيع القوات للحركة.</t>
    </r>
  </si>
  <si>
    <r>
      <t>1.</t>
    </r>
    <r>
      <rPr>
        <sz val="7"/>
        <color rgb="FF000000"/>
        <rFont val="Arial"/>
        <family val="2"/>
      </rPr>
      <t xml:space="preserve">   </t>
    </r>
    <r>
      <rPr>
        <sz val="12"/>
        <color rgb="FF000000"/>
        <rFont val="Arial"/>
        <family val="2"/>
      </rPr>
      <t xml:space="preserve">    بالأمر أو حسب التوقيتات الموضوعة في أمر العمليات، تتحرك السرية من منطقة التجمع إلى منطقة التشكيل بأسلوب حركة وتشكيلة مناسبين.</t>
    </r>
  </si>
  <si>
    <r>
      <t>2.</t>
    </r>
    <r>
      <rPr>
        <sz val="7"/>
        <color rgb="FF000000"/>
        <rFont val="Arial"/>
        <family val="2"/>
      </rPr>
      <t xml:space="preserve">   </t>
    </r>
    <r>
      <rPr>
        <sz val="12"/>
        <color rgb="FF000000"/>
        <rFont val="Arial"/>
        <family val="2"/>
      </rPr>
      <t xml:space="preserve">   يسيطر قائد السرية على الحركة على طول الطريق ويعدل التشكيلة وأسلوب الحركة والسرعة والمسافة بين الوحدات حسب طبيعة الأرض والموقف.</t>
    </r>
  </si>
  <si>
    <r>
      <t>3.</t>
    </r>
    <r>
      <rPr>
        <sz val="7"/>
        <color rgb="FF000000"/>
        <rFont val="Arial"/>
        <family val="2"/>
      </rPr>
      <t xml:space="preserve">   </t>
    </r>
    <r>
      <rPr>
        <sz val="12"/>
        <color rgb="FF000000"/>
        <rFont val="Arial"/>
        <family val="2"/>
      </rPr>
      <t xml:space="preserve">  تطبيق إجراءات التماس إذا حصل أثناء الحركة.</t>
    </r>
  </si>
  <si>
    <r>
      <t>4.</t>
    </r>
    <r>
      <rPr>
        <sz val="7"/>
        <color rgb="FF000000"/>
        <rFont val="Arial"/>
        <family val="2"/>
      </rPr>
      <t xml:space="preserve">   </t>
    </r>
    <r>
      <rPr>
        <sz val="12"/>
        <color rgb="FF000000"/>
        <rFont val="Arial"/>
        <family val="2"/>
      </rPr>
      <t xml:space="preserve">  على مسافة (6 – 8) كم من الحد الأمامي لمنطقة معركة العدو، تبدأ السرية بالتحول من تشكيل المسير إلى تشكيل ما قبل المعركة (خط الفتح التعبوي) (التحول من تشكيل ارتال كتائب الى ارتال سرايا).</t>
    </r>
  </si>
  <si>
    <r>
      <t>5.</t>
    </r>
    <r>
      <rPr>
        <sz val="7"/>
        <color rgb="FF000000"/>
        <rFont val="Arial"/>
        <family val="2"/>
      </rPr>
      <t xml:space="preserve">   </t>
    </r>
    <r>
      <rPr>
        <sz val="12"/>
        <color rgb="FF000000"/>
        <rFont val="Arial"/>
        <family val="2"/>
      </rPr>
      <t xml:space="preserve">   قبل الوصول إلى منطقة التشكيل تنفصل السرية وتتحرك باتجاه موقع قاعدة الإسناد بالنيران، ويراعى الاستفادة من طبيعة الأرض واستخدام الدخان لحجب حركة السرية وحسب الضرورة.</t>
    </r>
  </si>
  <si>
    <r>
      <t>6.</t>
    </r>
    <r>
      <rPr>
        <sz val="7"/>
        <color rgb="FF000000"/>
        <rFont val="Arial"/>
        <family val="2"/>
      </rPr>
      <t xml:space="preserve">   </t>
    </r>
    <r>
      <rPr>
        <sz val="12"/>
        <color rgb="FF000000"/>
        <rFont val="Arial"/>
        <family val="2"/>
      </rPr>
      <t xml:space="preserve">  تحتل الفصائل مواقعها حسب أوامر قائد السرية (يتم الدخول للموقع من الخلف ومراعاة عدم ظهور الآليات على الأفق). </t>
    </r>
  </si>
  <si>
    <r>
      <t>7.</t>
    </r>
    <r>
      <rPr>
        <sz val="7"/>
        <color rgb="FF000000"/>
        <rFont val="Arial"/>
        <family val="2"/>
      </rPr>
      <t xml:space="preserve">   </t>
    </r>
    <r>
      <rPr>
        <sz val="12"/>
        <color rgb="FF000000"/>
        <rFont val="Arial"/>
        <family val="2"/>
      </rPr>
      <t xml:space="preserve">  التأكد من احتلال الفصائل لمواقعها بشكل صحيح وتخصيص أقواس المسؤولية وتأكيد إجراءات السيطرة على النيران.</t>
    </r>
  </si>
  <si>
    <r>
      <t>8.</t>
    </r>
    <r>
      <rPr>
        <sz val="7"/>
        <color rgb="FF000000"/>
        <rFont val="Arial"/>
        <family val="2"/>
      </rPr>
      <t xml:space="preserve">   </t>
    </r>
    <r>
      <rPr>
        <sz val="12"/>
        <color rgb="FF000000"/>
        <rFont val="Arial"/>
        <family val="2"/>
      </rPr>
      <t xml:space="preserve">  الحصول على تقرير من قادة الفصائل باحتلال المواقع المخصصة لهم ضمن قاعدة الإسناد وجاهزيتهم لتقديم النيران بالأمر.</t>
    </r>
  </si>
  <si>
    <r>
      <t>9.</t>
    </r>
    <r>
      <rPr>
        <sz val="7"/>
        <color rgb="FF000000"/>
        <rFont val="Arial"/>
        <family val="2"/>
      </rPr>
      <t xml:space="preserve">   </t>
    </r>
    <r>
      <rPr>
        <sz val="12"/>
        <color rgb="FF000000"/>
        <rFont val="Arial"/>
        <family val="2"/>
      </rPr>
      <t xml:space="preserve">   بالأمر، تبدأ السرية بتقديم نيران الإسناد المباشرة لباقي وحدات السرية وتعمل على إسكات قوات العدو.</t>
    </r>
  </si>
  <si>
    <r>
      <t>10.</t>
    </r>
    <r>
      <rPr>
        <sz val="7"/>
        <color rgb="FF000000"/>
        <rFont val="Arial"/>
        <family val="2"/>
      </rPr>
      <t xml:space="preserve">    </t>
    </r>
    <r>
      <rPr>
        <sz val="12"/>
        <color rgb="FF000000"/>
        <rFont val="Arial"/>
        <family val="2"/>
      </rPr>
      <t xml:space="preserve">  مراقبة حركة القوات الصديقة من خط البدء وتحويل أو قطع النيران في الوقت المناسب لمنع الإصابة بالنيران الصديقة.</t>
    </r>
  </si>
  <si>
    <r>
      <t>11.</t>
    </r>
    <r>
      <rPr>
        <sz val="7"/>
        <color rgb="FF000000"/>
        <rFont val="Arial"/>
        <family val="2"/>
      </rPr>
      <t xml:space="preserve">    </t>
    </r>
    <r>
      <rPr>
        <sz val="12"/>
        <color rgb="FF000000"/>
        <rFont val="Arial"/>
        <family val="2"/>
      </rPr>
      <t xml:space="preserve">  الاستمرار بتقديم الإسناد حتى تنهي القوات المقتحمة احتلال الأهداف. </t>
    </r>
  </si>
  <si>
    <r>
      <t>12.</t>
    </r>
    <r>
      <rPr>
        <sz val="7"/>
        <color rgb="FF000000"/>
        <rFont val="Arial"/>
        <family val="2"/>
      </rPr>
      <t xml:space="preserve">    </t>
    </r>
    <r>
      <rPr>
        <sz val="12"/>
        <color rgb="FF000000"/>
        <rFont val="Arial"/>
        <family val="2"/>
      </rPr>
      <t xml:space="preserve">  الاستعداد للالتحاق بالكتيبة/ مجموعة القتال حسب الأوامر.</t>
    </r>
  </si>
  <si>
    <r>
      <t>13.</t>
    </r>
    <r>
      <rPr>
        <sz val="7"/>
        <color rgb="FF000000"/>
        <rFont val="Arial"/>
        <family val="2"/>
      </rPr>
      <t xml:space="preserve">    </t>
    </r>
    <r>
      <rPr>
        <sz val="12"/>
        <color rgb="FF000000"/>
        <rFont val="Arial"/>
        <family val="2"/>
      </rPr>
      <t xml:space="preserve">  التثبت وإعادة التنظيم والاستعداد للعمليات المستقبلية.</t>
    </r>
  </si>
  <si>
    <t>تقييم  السرية في تأسيس قاعدة الاسناد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</si>
</sst>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0C0000]d\ mmmm\ yyyy;@"/>
  </numFmts>
  <fonts count="14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2"/>
      <color rgb="FF000000"/>
      <name val="Arial"/>
      <family val="2"/>
    </font>
    <font>
      <sz val="14"/>
      <color theme="1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sz val="7"/>
      <color theme="1"/>
      <name val="Arial"/>
      <family val="2"/>
    </font>
    <font>
      <sz val="7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2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5" fillId="0" borderId="0" xfId="0" applyFont="1" applyAlignment="1" applyProtection="1">
      <alignment vertical="center" wrapText="1" readingOrder="2"/>
      <protection locked="0"/>
    </xf>
    <xf numFmtId="0" fontId="5" fillId="0" borderId="0" xfId="0" applyFont="1" applyAlignment="1" applyProtection="1">
      <alignment horizontal="right" vertical="center" wrapText="1" readingOrder="2"/>
      <protection locked="0"/>
    </xf>
    <xf numFmtId="0" fontId="5" fillId="0" borderId="0" xfId="0" applyFont="1" applyAlignment="1" applyProtection="1">
      <alignment horizontal="center" vertical="center" wrapText="1" readingOrder="2"/>
      <protection locked="0"/>
    </xf>
    <xf numFmtId="0" fontId="2" fillId="0" borderId="2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5" fillId="3" borderId="11" xfId="0" applyFont="1" applyFill="1" applyBorder="1" applyAlignment="1" applyProtection="1">
      <alignment horizontal="center" vertical="center" wrapText="1" readingOrder="2"/>
      <protection locked="0"/>
    </xf>
    <xf numFmtId="0" fontId="5" fillId="3" borderId="2" xfId="0" applyFont="1" applyFill="1" applyBorder="1" applyAlignment="1" applyProtection="1">
      <alignment vertical="center" wrapText="1" readingOrder="2"/>
      <protection locked="0"/>
    </xf>
    <xf numFmtId="0" fontId="3" fillId="0" borderId="2" xfId="0" applyFont="1" applyBorder="1" applyAlignment="1" applyProtection="1">
      <alignment horizontal="center" vertical="center" wrapText="1" readingOrder="2"/>
      <protection locked="0"/>
    </xf>
    <xf numFmtId="0" fontId="3" fillId="0" borderId="11" xfId="0" applyFont="1" applyBorder="1" applyAlignment="1" applyProtection="1">
      <alignment horizontal="center" vertical="center" wrapText="1" readingOrder="2"/>
      <protection locked="0"/>
    </xf>
    <xf numFmtId="0" fontId="5" fillId="3" borderId="15" xfId="0" applyFont="1" applyFill="1" applyBorder="1" applyAlignment="1" applyProtection="1">
      <alignment horizontal="center" vertical="center" wrapText="1" readingOrder="2"/>
      <protection locked="0"/>
    </xf>
    <xf numFmtId="0" fontId="2" fillId="0" borderId="18" xfId="0" applyFont="1" applyBorder="1" applyAlignment="1">
      <alignment horizontal="center" vertical="center" wrapText="1" readingOrder="2"/>
    </xf>
    <xf numFmtId="9" fontId="3" fillId="0" borderId="2" xfId="0" applyNumberFormat="1" applyFont="1" applyBorder="1" applyAlignment="1">
      <alignment horizontal="center" vertical="center" wrapText="1" readingOrder="2"/>
    </xf>
    <xf numFmtId="0" fontId="2" fillId="0" borderId="2" xfId="0" applyFont="1" applyBorder="1" applyAlignment="1">
      <alignment horizontal="center" vertical="center" wrapText="1" readingOrder="1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11" xfId="0" applyFont="1" applyBorder="1" applyAlignment="1">
      <alignment horizontal="center" vertical="center" wrapText="1" readingOrder="2"/>
    </xf>
    <xf numFmtId="9" fontId="3" fillId="0" borderId="11" xfId="0" applyNumberFormat="1" applyFont="1" applyBorder="1" applyAlignment="1">
      <alignment horizontal="center" vertical="center" wrapText="1" readingOrder="2"/>
    </xf>
    <xf numFmtId="0" fontId="2" fillId="0" borderId="11" xfId="0" applyFont="1" applyBorder="1" applyAlignment="1">
      <alignment horizontal="center" vertical="center" wrapText="1" readingOrder="1"/>
    </xf>
    <xf numFmtId="0" fontId="11" fillId="0" borderId="3" xfId="0" applyFont="1" applyBorder="1" applyAlignment="1">
      <alignment vertical="center" wrapText="1"/>
    </xf>
    <xf numFmtId="0" fontId="11" fillId="0" borderId="2" xfId="0" applyFont="1" applyBorder="1" applyAlignment="1">
      <alignment vertical="center" wrapText="1"/>
    </xf>
    <xf numFmtId="0" fontId="2" fillId="0" borderId="11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right" vertical="center" wrapText="1" readingOrder="2"/>
    </xf>
    <xf numFmtId="0" fontId="8" fillId="0" borderId="2" xfId="0" applyFont="1" applyBorder="1" applyAlignment="1">
      <alignment horizontal="right" vertical="center" wrapText="1" readingOrder="2"/>
    </xf>
    <xf numFmtId="0" fontId="8" fillId="0" borderId="10" xfId="0" applyFont="1" applyBorder="1" applyAlignment="1">
      <alignment horizontal="right" vertical="center" wrapText="1" readingOrder="2"/>
    </xf>
    <xf numFmtId="0" fontId="8" fillId="0" borderId="11" xfId="0" applyFont="1" applyBorder="1" applyAlignment="1">
      <alignment horizontal="right" vertical="center" wrapText="1" readingOrder="2"/>
    </xf>
    <xf numFmtId="0" fontId="1" fillId="0" borderId="4" xfId="0" applyFont="1" applyBorder="1" applyAlignment="1">
      <alignment horizontal="right" vertical="center" wrapText="1" readingOrder="2"/>
    </xf>
    <xf numFmtId="0" fontId="1" fillId="0" borderId="3" xfId="0" applyFont="1" applyBorder="1" applyAlignment="1">
      <alignment horizontal="right" vertical="center" wrapText="1" readingOrder="2"/>
    </xf>
    <xf numFmtId="0" fontId="9" fillId="0" borderId="21" xfId="0" applyFont="1" applyBorder="1" applyAlignment="1">
      <alignment horizontal="right" vertical="center" wrapText="1" readingOrder="2"/>
    </xf>
    <xf numFmtId="0" fontId="9" fillId="0" borderId="2" xfId="0" applyFont="1" applyBorder="1" applyAlignment="1">
      <alignment horizontal="right" vertical="center" wrapText="1" readingOrder="2"/>
    </xf>
    <xf numFmtId="0" fontId="8" fillId="0" borderId="21" xfId="0" applyFont="1" applyBorder="1" applyAlignment="1">
      <alignment horizontal="right" vertical="center" wrapText="1" indent="2" readingOrder="2"/>
    </xf>
    <xf numFmtId="0" fontId="8" fillId="0" borderId="2" xfId="0" applyFont="1" applyBorder="1" applyAlignment="1">
      <alignment horizontal="right" vertical="center" wrapText="1" indent="2" readingOrder="2"/>
    </xf>
    <xf numFmtId="0" fontId="9" fillId="0" borderId="10" xfId="0" applyFont="1" applyBorder="1" applyAlignment="1">
      <alignment horizontal="right" vertical="center" wrapText="1" readingOrder="2"/>
    </xf>
    <xf numFmtId="0" fontId="9" fillId="0" borderId="11" xfId="0" applyFont="1" applyBorder="1" applyAlignment="1">
      <alignment horizontal="right" vertical="center" wrapText="1" readingOrder="2"/>
    </xf>
    <xf numFmtId="0" fontId="8" fillId="0" borderId="21" xfId="0" applyFont="1" applyBorder="1" applyAlignment="1">
      <alignment horizontal="right" vertical="center" wrapText="1" indent="4" readingOrder="2"/>
    </xf>
    <xf numFmtId="0" fontId="8" fillId="0" borderId="2" xfId="0" applyFont="1" applyBorder="1" applyAlignment="1">
      <alignment horizontal="right" vertical="center" wrapText="1" indent="4" readingOrder="2"/>
    </xf>
    <xf numFmtId="0" fontId="3" fillId="0" borderId="2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3" fillId="0" borderId="11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5" xfId="0" applyFont="1" applyBorder="1" applyAlignment="1" applyProtection="1">
      <alignment horizontal="center" vertical="center" wrapText="1" readingOrder="2"/>
      <protection locked="0"/>
    </xf>
    <xf numFmtId="0" fontId="5" fillId="3" borderId="17" xfId="0" applyFont="1" applyFill="1" applyBorder="1" applyAlignment="1" applyProtection="1">
      <alignment horizontal="center" vertical="center" wrapText="1" readingOrder="2"/>
      <protection locked="0"/>
    </xf>
    <xf numFmtId="0" fontId="5" fillId="3" borderId="18" xfId="0" applyFont="1" applyFill="1" applyBorder="1" applyAlignment="1" applyProtection="1">
      <alignment horizontal="center" vertical="center" wrapText="1" readingOrder="2"/>
      <protection locked="0"/>
    </xf>
    <xf numFmtId="0" fontId="5" fillId="3" borderId="7" xfId="0" applyFont="1" applyFill="1" applyBorder="1" applyAlignment="1" applyProtection="1">
      <alignment horizontal="center" vertical="center" wrapText="1" readingOrder="2"/>
      <protection locked="0"/>
    </xf>
    <xf numFmtId="0" fontId="5" fillId="3" borderId="8" xfId="0" applyFont="1" applyFill="1" applyBorder="1" applyAlignment="1" applyProtection="1">
      <alignment horizontal="center" vertical="center" wrapText="1" readingOrder="2"/>
      <protection locked="0"/>
    </xf>
    <xf numFmtId="0" fontId="4" fillId="0" borderId="1" xfId="0" applyFont="1" applyBorder="1" applyAlignment="1" applyProtection="1">
      <alignment vertical="top" wrapText="1" readingOrder="2"/>
      <protection locked="0"/>
    </xf>
    <xf numFmtId="0" fontId="4" fillId="0" borderId="0" xfId="0" applyFont="1" applyBorder="1" applyAlignment="1" applyProtection="1">
      <alignment vertical="top" wrapText="1" readingOrder="2"/>
      <protection locked="0"/>
    </xf>
    <xf numFmtId="0" fontId="5" fillId="0" borderId="0" xfId="0" applyFont="1" applyBorder="1" applyAlignment="1" applyProtection="1">
      <alignment horizontal="right" vertical="center" wrapText="1" readingOrder="2"/>
      <protection locked="0"/>
    </xf>
    <xf numFmtId="0" fontId="5" fillId="0" borderId="0" xfId="0" applyFont="1" applyAlignment="1" applyProtection="1">
      <alignment horizontal="center" vertical="center" wrapText="1" readingOrder="2"/>
      <protection locked="0"/>
    </xf>
    <xf numFmtId="0" fontId="2" fillId="0" borderId="8" xfId="0" applyFont="1" applyBorder="1" applyAlignment="1">
      <alignment horizontal="center" vertical="center" wrapText="1" readingOrder="1"/>
    </xf>
    <xf numFmtId="0" fontId="2" fillId="0" borderId="9" xfId="0" applyFont="1" applyBorder="1" applyAlignment="1">
      <alignment horizontal="center" vertical="center" wrapText="1" readingOrder="1"/>
    </xf>
    <xf numFmtId="164" fontId="5" fillId="0" borderId="2" xfId="0" applyNumberFormat="1" applyFont="1" applyBorder="1" applyAlignment="1" applyProtection="1">
      <alignment horizontal="right" vertical="center" wrapText="1" readingOrder="2"/>
      <protection locked="0"/>
    </xf>
    <xf numFmtId="0" fontId="6" fillId="3" borderId="4" xfId="0" applyFont="1" applyFill="1" applyBorder="1" applyAlignment="1" applyProtection="1">
      <alignment horizontal="center" vertical="center" wrapText="1" readingOrder="2"/>
      <protection locked="0"/>
    </xf>
    <xf numFmtId="0" fontId="6" fillId="3" borderId="3" xfId="0" applyFont="1" applyFill="1" applyBorder="1" applyAlignment="1" applyProtection="1">
      <alignment horizontal="center" vertical="center" wrapText="1" readingOrder="2"/>
      <protection locked="0"/>
    </xf>
    <xf numFmtId="0" fontId="6" fillId="3" borderId="10" xfId="0" applyFont="1" applyFill="1" applyBorder="1" applyAlignment="1" applyProtection="1">
      <alignment horizontal="center" vertical="center" wrapText="1" readingOrder="2"/>
      <protection locked="0"/>
    </xf>
    <xf numFmtId="0" fontId="6" fillId="3" borderId="11" xfId="0" applyFont="1" applyFill="1" applyBorder="1" applyAlignment="1" applyProtection="1">
      <alignment horizontal="center" vertical="center" wrapText="1" readingOrder="2"/>
      <protection locked="0"/>
    </xf>
    <xf numFmtId="0" fontId="5" fillId="0" borderId="2" xfId="0" applyFont="1" applyBorder="1" applyAlignment="1" applyProtection="1">
      <alignment horizontal="right" vertical="center" wrapText="1" readingOrder="2"/>
      <protection locked="0"/>
    </xf>
    <xf numFmtId="10" fontId="2" fillId="0" borderId="8" xfId="0" applyNumberFormat="1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0" fontId="6" fillId="3" borderId="14" xfId="0" applyFont="1" applyFill="1" applyBorder="1" applyAlignment="1" applyProtection="1">
      <alignment horizontal="center" vertical="center" wrapText="1" readingOrder="2"/>
      <protection locked="0"/>
    </xf>
    <xf numFmtId="0" fontId="6" fillId="3" borderId="15" xfId="0" applyFont="1" applyFill="1" applyBorder="1" applyAlignment="1" applyProtection="1">
      <alignment horizontal="center" vertical="center" wrapText="1" readingOrder="2"/>
      <protection locked="0"/>
    </xf>
    <xf numFmtId="0" fontId="5" fillId="3" borderId="3" xfId="0" applyFont="1" applyFill="1" applyBorder="1" applyAlignment="1" applyProtection="1">
      <alignment horizontal="center" vertical="center" wrapText="1" readingOrder="2"/>
      <protection locked="0"/>
    </xf>
    <xf numFmtId="0" fontId="5" fillId="3" borderId="5" xfId="0" applyFont="1" applyFill="1" applyBorder="1" applyAlignment="1" applyProtection="1">
      <alignment horizontal="center" vertical="center" wrapText="1" readingOrder="2"/>
      <protection locked="0"/>
    </xf>
    <xf numFmtId="0" fontId="5" fillId="3" borderId="11" xfId="0" applyFont="1" applyFill="1" applyBorder="1" applyAlignment="1" applyProtection="1">
      <alignment horizontal="center" vertical="center" wrapText="1" readingOrder="2"/>
      <protection locked="0"/>
    </xf>
    <xf numFmtId="0" fontId="5" fillId="3" borderId="12" xfId="0" applyFont="1" applyFill="1" applyBorder="1" applyAlignment="1" applyProtection="1">
      <alignment horizontal="center" vertical="center" wrapText="1" readingOrder="2"/>
      <protection locked="0"/>
    </xf>
    <xf numFmtId="0" fontId="5" fillId="3" borderId="15" xfId="0" applyFont="1" applyFill="1" applyBorder="1" applyAlignment="1" applyProtection="1">
      <alignment horizontal="center" vertical="center" wrapText="1" readingOrder="2"/>
      <protection locked="0"/>
    </xf>
    <xf numFmtId="0" fontId="5" fillId="3" borderId="16" xfId="0" applyFont="1" applyFill="1" applyBorder="1" applyAlignment="1" applyProtection="1">
      <alignment horizontal="center" vertical="center" wrapText="1" readingOrder="2"/>
      <protection locked="0"/>
    </xf>
    <xf numFmtId="0" fontId="5" fillId="0" borderId="1" xfId="0" applyFont="1" applyBorder="1" applyAlignment="1" applyProtection="1">
      <alignment horizontal="left" vertical="center" wrapText="1" readingOrder="2"/>
      <protection locked="0"/>
    </xf>
    <xf numFmtId="0" fontId="5" fillId="0" borderId="0" xfId="0" applyFont="1" applyAlignment="1" applyProtection="1">
      <alignment horizontal="left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0" fontId="2" fillId="0" borderId="13" xfId="0" applyFont="1" applyBorder="1" applyAlignment="1">
      <alignment horizontal="center" vertical="center" wrapText="1" readingOrder="2"/>
    </xf>
    <xf numFmtId="0" fontId="2" fillId="0" borderId="20" xfId="0" applyFont="1" applyBorder="1" applyAlignment="1">
      <alignment horizontal="center" vertical="center" wrapText="1" readingOrder="2"/>
    </xf>
    <xf numFmtId="49" fontId="4" fillId="0" borderId="0" xfId="0" applyNumberFormat="1" applyFont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24"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J53"/>
  <sheetViews>
    <sheetView rightToLeft="1" tabSelected="1" view="pageBreakPreview" zoomScale="130" zoomScaleNormal="100" zoomScaleSheetLayoutView="130" workbookViewId="0">
      <selection activeCell="B1" sqref="B1:J1"/>
    </sheetView>
  </sheetViews>
  <sheetFormatPr defaultColWidth="9" defaultRowHeight="15" x14ac:dyDescent="0.25"/>
  <cols>
    <col min="1" max="1" width="5.140625" style="1" customWidth="1"/>
    <col min="2" max="2" width="12.140625" style="1" customWidth="1"/>
    <col min="3" max="3" width="9" style="1"/>
    <col min="4" max="4" width="28.140625" style="1" customWidth="1"/>
    <col min="5" max="7" width="9.28515625" style="1" customWidth="1"/>
    <col min="8" max="8" width="9.28515625" style="2" customWidth="1"/>
    <col min="9" max="9" width="9.28515625" style="1" customWidth="1"/>
    <col min="10" max="10" width="15.42578125" style="1" customWidth="1"/>
    <col min="11" max="16384" width="9" style="1"/>
  </cols>
  <sheetData>
    <row r="1" spans="1:10" ht="45" customHeight="1" x14ac:dyDescent="0.25">
      <c r="B1" s="78" t="s">
        <v>69</v>
      </c>
      <c r="C1" s="78"/>
      <c r="D1" s="78"/>
      <c r="E1" s="78"/>
      <c r="F1" s="78"/>
      <c r="G1" s="78"/>
      <c r="H1" s="78"/>
      <c r="I1" s="78"/>
      <c r="J1" s="78"/>
    </row>
    <row r="2" spans="1:10" ht="30" customHeight="1" x14ac:dyDescent="0.25">
      <c r="B2" s="11" t="s">
        <v>8</v>
      </c>
      <c r="C2" s="62" t="s">
        <v>23</v>
      </c>
      <c r="D2" s="62"/>
      <c r="E2" s="11" t="s">
        <v>7</v>
      </c>
      <c r="F2" s="57" t="s">
        <v>22</v>
      </c>
      <c r="G2" s="57"/>
      <c r="H2" s="57"/>
      <c r="I2" s="57"/>
      <c r="J2" s="57"/>
    </row>
    <row r="3" spans="1:10" ht="30" customHeight="1" x14ac:dyDescent="0.25">
      <c r="B3" s="11" t="s">
        <v>9</v>
      </c>
      <c r="C3" s="62" t="s">
        <v>25</v>
      </c>
      <c r="D3" s="62"/>
      <c r="E3" s="11" t="s">
        <v>6</v>
      </c>
      <c r="F3" s="62" t="s">
        <v>24</v>
      </c>
      <c r="G3" s="62"/>
      <c r="H3" s="62"/>
      <c r="I3" s="62"/>
      <c r="J3" s="62"/>
    </row>
    <row r="4" spans="1:10" ht="30" customHeight="1" thickBot="1" x14ac:dyDescent="0.3">
      <c r="B4" s="5"/>
      <c r="C4" s="6"/>
      <c r="D4" s="6"/>
      <c r="E4" s="5"/>
      <c r="F4" s="6"/>
      <c r="G4" s="6"/>
      <c r="H4" s="7"/>
      <c r="I4" s="6"/>
      <c r="J4" s="6"/>
    </row>
    <row r="5" spans="1:10" ht="24.95" customHeight="1" x14ac:dyDescent="0.25">
      <c r="A5" s="9"/>
      <c r="B5" s="58" t="s">
        <v>0</v>
      </c>
      <c r="C5" s="59"/>
      <c r="D5" s="59"/>
      <c r="E5" s="67" t="s">
        <v>1</v>
      </c>
      <c r="F5" s="67"/>
      <c r="G5" s="67"/>
      <c r="H5" s="67"/>
      <c r="I5" s="67" t="s">
        <v>2</v>
      </c>
      <c r="J5" s="68"/>
    </row>
    <row r="6" spans="1:10" ht="24.95" customHeight="1" thickBot="1" x14ac:dyDescent="0.3">
      <c r="A6" s="9"/>
      <c r="B6" s="60"/>
      <c r="C6" s="61"/>
      <c r="D6" s="61"/>
      <c r="E6" s="10" t="s">
        <v>3</v>
      </c>
      <c r="F6" s="10" t="s">
        <v>4</v>
      </c>
      <c r="G6" s="10" t="s">
        <v>15</v>
      </c>
      <c r="H6" s="10" t="s">
        <v>16</v>
      </c>
      <c r="I6" s="69"/>
      <c r="J6" s="70"/>
    </row>
    <row r="7" spans="1:10" ht="24.95" customHeight="1" thickBot="1" x14ac:dyDescent="0.3">
      <c r="A7" s="9"/>
      <c r="B7" s="65" t="s">
        <v>13</v>
      </c>
      <c r="C7" s="66"/>
      <c r="D7" s="66"/>
      <c r="E7" s="14" t="s">
        <v>10</v>
      </c>
      <c r="F7" s="14" t="s">
        <v>11</v>
      </c>
      <c r="G7" s="14" t="s">
        <v>14</v>
      </c>
      <c r="H7" s="14" t="s">
        <v>12</v>
      </c>
      <c r="I7" s="71" t="s">
        <v>17</v>
      </c>
      <c r="J7" s="72"/>
    </row>
    <row r="8" spans="1:10" ht="39.950000000000003" customHeight="1" x14ac:dyDescent="0.25">
      <c r="A8" s="9"/>
      <c r="B8" s="31" t="s">
        <v>28</v>
      </c>
      <c r="C8" s="32"/>
      <c r="D8" s="32"/>
      <c r="E8" s="24"/>
      <c r="F8" s="18"/>
      <c r="G8" s="19"/>
      <c r="H8" s="20"/>
      <c r="I8" s="45"/>
      <c r="J8" s="46"/>
    </row>
    <row r="9" spans="1:10" ht="39.950000000000003" customHeight="1" x14ac:dyDescent="0.25">
      <c r="A9" s="9"/>
      <c r="B9" s="27" t="s">
        <v>29</v>
      </c>
      <c r="C9" s="28"/>
      <c r="D9" s="28"/>
      <c r="E9" s="8"/>
      <c r="F9" s="12"/>
      <c r="G9" s="16"/>
      <c r="H9" s="17"/>
      <c r="I9" s="41"/>
      <c r="J9" s="42"/>
    </row>
    <row r="10" spans="1:10" ht="39.950000000000003" customHeight="1" x14ac:dyDescent="0.25">
      <c r="A10" s="9"/>
      <c r="B10" s="33" t="s">
        <v>44</v>
      </c>
      <c r="C10" s="34"/>
      <c r="D10" s="34"/>
      <c r="E10" s="25"/>
      <c r="F10" s="12"/>
      <c r="G10" s="16"/>
      <c r="H10" s="17"/>
      <c r="I10" s="41"/>
      <c r="J10" s="42"/>
    </row>
    <row r="11" spans="1:10" ht="58.5" customHeight="1" x14ac:dyDescent="0.25">
      <c r="A11" s="9"/>
      <c r="B11" s="35" t="s">
        <v>45</v>
      </c>
      <c r="C11" s="36"/>
      <c r="D11" s="36"/>
      <c r="E11" s="8">
        <v>5</v>
      </c>
      <c r="F11" s="12" t="s">
        <v>26</v>
      </c>
      <c r="G11" s="16" t="str">
        <f t="shared" ref="G11:G48" si="0">IFERROR(F11/E11,"")</f>
        <v/>
      </c>
      <c r="H11" s="17" t="str">
        <f t="shared" ref="H11:H48" si="1">_xlfn.IFS(F11="أدخل العلامة","",F11="لا ينطبق","تم الإلغاء",G11&gt;=90%,"ممتاز",G11&gt;=80%,"جيد جداً",G11&gt;=70%,"جيد",G11&gt;=60%,"مقبول",G11&lt;60%,"راسب")</f>
        <v/>
      </c>
      <c r="I11" s="41"/>
      <c r="J11" s="42"/>
    </row>
    <row r="12" spans="1:10" ht="39.950000000000003" customHeight="1" x14ac:dyDescent="0.25">
      <c r="A12" s="9"/>
      <c r="B12" s="35" t="s">
        <v>46</v>
      </c>
      <c r="C12" s="36"/>
      <c r="D12" s="36"/>
      <c r="E12" s="25"/>
      <c r="F12" s="12"/>
      <c r="G12" s="16"/>
      <c r="H12" s="17"/>
      <c r="I12" s="41"/>
      <c r="J12" s="42"/>
    </row>
    <row r="13" spans="1:10" ht="39.950000000000003" customHeight="1" x14ac:dyDescent="0.25">
      <c r="A13" s="9"/>
      <c r="B13" s="39" t="s">
        <v>47</v>
      </c>
      <c r="C13" s="40"/>
      <c r="D13" s="40"/>
      <c r="E13" s="8">
        <v>5</v>
      </c>
      <c r="F13" s="12" t="s">
        <v>26</v>
      </c>
      <c r="G13" s="16" t="str">
        <f t="shared" si="0"/>
        <v/>
      </c>
      <c r="H13" s="17" t="str">
        <f t="shared" si="1"/>
        <v/>
      </c>
      <c r="I13" s="41"/>
      <c r="J13" s="42"/>
    </row>
    <row r="14" spans="1:10" ht="39.950000000000003" customHeight="1" x14ac:dyDescent="0.25">
      <c r="A14" s="9"/>
      <c r="B14" s="39" t="s">
        <v>48</v>
      </c>
      <c r="C14" s="40"/>
      <c r="D14" s="40"/>
      <c r="E14" s="8">
        <v>5</v>
      </c>
      <c r="F14" s="12" t="s">
        <v>26</v>
      </c>
      <c r="G14" s="16" t="str">
        <f t="shared" si="0"/>
        <v/>
      </c>
      <c r="H14" s="17" t="str">
        <f t="shared" si="1"/>
        <v/>
      </c>
      <c r="I14" s="41"/>
      <c r="J14" s="42"/>
    </row>
    <row r="15" spans="1:10" ht="39.950000000000003" customHeight="1" x14ac:dyDescent="0.25">
      <c r="A15" s="9"/>
      <c r="B15" s="39" t="s">
        <v>30</v>
      </c>
      <c r="C15" s="40"/>
      <c r="D15" s="40"/>
      <c r="E15" s="8">
        <v>5</v>
      </c>
      <c r="F15" s="12" t="s">
        <v>26</v>
      </c>
      <c r="G15" s="16" t="str">
        <f t="shared" si="0"/>
        <v/>
      </c>
      <c r="H15" s="17" t="str">
        <f t="shared" si="1"/>
        <v/>
      </c>
      <c r="I15" s="41"/>
      <c r="J15" s="42"/>
    </row>
    <row r="16" spans="1:10" ht="39.950000000000003" customHeight="1" x14ac:dyDescent="0.25">
      <c r="A16" s="9"/>
      <c r="B16" s="39" t="s">
        <v>31</v>
      </c>
      <c r="C16" s="40"/>
      <c r="D16" s="40"/>
      <c r="E16" s="8">
        <v>5</v>
      </c>
      <c r="F16" s="12" t="s">
        <v>26</v>
      </c>
      <c r="G16" s="16" t="str">
        <f t="shared" si="0"/>
        <v/>
      </c>
      <c r="H16" s="17" t="str">
        <f t="shared" si="1"/>
        <v/>
      </c>
      <c r="I16" s="41"/>
      <c r="J16" s="42"/>
    </row>
    <row r="17" spans="1:10" ht="39.950000000000003" customHeight="1" x14ac:dyDescent="0.25">
      <c r="A17" s="9"/>
      <c r="B17" s="39" t="s">
        <v>32</v>
      </c>
      <c r="C17" s="40"/>
      <c r="D17" s="40"/>
      <c r="E17" s="8">
        <v>5</v>
      </c>
      <c r="F17" s="12" t="s">
        <v>26</v>
      </c>
      <c r="G17" s="16" t="str">
        <f t="shared" si="0"/>
        <v/>
      </c>
      <c r="H17" s="17" t="str">
        <f t="shared" si="1"/>
        <v/>
      </c>
      <c r="I17" s="41"/>
      <c r="J17" s="42"/>
    </row>
    <row r="18" spans="1:10" ht="39.950000000000003" customHeight="1" x14ac:dyDescent="0.25">
      <c r="A18" s="9"/>
      <c r="B18" s="39" t="s">
        <v>33</v>
      </c>
      <c r="C18" s="40"/>
      <c r="D18" s="40"/>
      <c r="E18" s="8"/>
      <c r="F18" s="12"/>
      <c r="G18" s="16"/>
      <c r="H18" s="17"/>
      <c r="I18" s="41"/>
      <c r="J18" s="42"/>
    </row>
    <row r="19" spans="1:10" ht="39.950000000000003" customHeight="1" x14ac:dyDescent="0.25">
      <c r="A19" s="9"/>
      <c r="B19" s="35" t="s">
        <v>34</v>
      </c>
      <c r="C19" s="36"/>
      <c r="D19" s="36"/>
      <c r="E19" s="8">
        <v>5</v>
      </c>
      <c r="F19" s="12" t="s">
        <v>26</v>
      </c>
      <c r="G19" s="16" t="str">
        <f t="shared" si="0"/>
        <v/>
      </c>
      <c r="H19" s="17" t="str">
        <f t="shared" si="1"/>
        <v/>
      </c>
      <c r="I19" s="41"/>
      <c r="J19" s="42"/>
    </row>
    <row r="20" spans="1:10" ht="60" customHeight="1" thickBot="1" x14ac:dyDescent="0.3">
      <c r="A20" s="9"/>
      <c r="B20" s="37" t="s">
        <v>49</v>
      </c>
      <c r="C20" s="38"/>
      <c r="D20" s="38"/>
      <c r="E20" s="26">
        <v>5</v>
      </c>
      <c r="F20" s="13" t="s">
        <v>26</v>
      </c>
      <c r="G20" s="22" t="str">
        <f t="shared" si="0"/>
        <v/>
      </c>
      <c r="H20" s="23" t="str">
        <f t="shared" si="1"/>
        <v/>
      </c>
      <c r="I20" s="43"/>
      <c r="J20" s="44"/>
    </row>
    <row r="21" spans="1:10" ht="39.950000000000003" customHeight="1" x14ac:dyDescent="0.25">
      <c r="A21" s="9"/>
      <c r="B21" s="31" t="s">
        <v>35</v>
      </c>
      <c r="C21" s="32"/>
      <c r="D21" s="32"/>
      <c r="E21" s="24"/>
      <c r="F21" s="18"/>
      <c r="G21" s="19"/>
      <c r="H21" s="20"/>
      <c r="I21" s="45"/>
      <c r="J21" s="46"/>
    </row>
    <row r="22" spans="1:10" ht="60" customHeight="1" x14ac:dyDescent="0.25">
      <c r="A22" s="9"/>
      <c r="B22" s="27" t="s">
        <v>36</v>
      </c>
      <c r="C22" s="28"/>
      <c r="D22" s="28"/>
      <c r="E22" s="8"/>
      <c r="F22" s="12"/>
      <c r="G22" s="16"/>
      <c r="H22" s="17"/>
      <c r="I22" s="41"/>
      <c r="J22" s="42"/>
    </row>
    <row r="23" spans="1:10" ht="39.950000000000003" customHeight="1" x14ac:dyDescent="0.25">
      <c r="A23" s="9"/>
      <c r="B23" s="27" t="s">
        <v>50</v>
      </c>
      <c r="C23" s="28"/>
      <c r="D23" s="28"/>
      <c r="E23" s="8">
        <v>5</v>
      </c>
      <c r="F23" s="12" t="s">
        <v>26</v>
      </c>
      <c r="G23" s="16" t="str">
        <f t="shared" si="0"/>
        <v/>
      </c>
      <c r="H23" s="17" t="str">
        <f t="shared" si="1"/>
        <v/>
      </c>
      <c r="I23" s="41"/>
      <c r="J23" s="42"/>
    </row>
    <row r="24" spans="1:10" ht="39.950000000000003" customHeight="1" x14ac:dyDescent="0.25">
      <c r="A24" s="9"/>
      <c r="B24" s="27" t="s">
        <v>51</v>
      </c>
      <c r="C24" s="28"/>
      <c r="D24" s="28"/>
      <c r="E24" s="8">
        <v>5</v>
      </c>
      <c r="F24" s="12" t="s">
        <v>26</v>
      </c>
      <c r="G24" s="16" t="str">
        <f t="shared" si="0"/>
        <v/>
      </c>
      <c r="H24" s="17" t="str">
        <f t="shared" si="1"/>
        <v/>
      </c>
      <c r="I24" s="41"/>
      <c r="J24" s="42"/>
    </row>
    <row r="25" spans="1:10" ht="39.950000000000003" customHeight="1" x14ac:dyDescent="0.25">
      <c r="A25" s="9"/>
      <c r="B25" s="27" t="s">
        <v>52</v>
      </c>
      <c r="C25" s="28"/>
      <c r="D25" s="28"/>
      <c r="E25" s="8">
        <v>5</v>
      </c>
      <c r="F25" s="12" t="s">
        <v>26</v>
      </c>
      <c r="G25" s="16" t="str">
        <f t="shared" si="0"/>
        <v/>
      </c>
      <c r="H25" s="17" t="str">
        <f t="shared" si="1"/>
        <v/>
      </c>
      <c r="I25" s="41"/>
      <c r="J25" s="42"/>
    </row>
    <row r="26" spans="1:10" ht="39.950000000000003" customHeight="1" x14ac:dyDescent="0.25">
      <c r="A26" s="9"/>
      <c r="B26" s="33" t="s">
        <v>53</v>
      </c>
      <c r="C26" s="34"/>
      <c r="D26" s="34"/>
      <c r="E26" s="25"/>
      <c r="F26" s="12"/>
      <c r="G26" s="16"/>
      <c r="H26" s="17"/>
      <c r="I26" s="41"/>
      <c r="J26" s="42"/>
    </row>
    <row r="27" spans="1:10" ht="39.950000000000003" customHeight="1" x14ac:dyDescent="0.25">
      <c r="A27" s="9"/>
      <c r="B27" s="35" t="s">
        <v>37</v>
      </c>
      <c r="C27" s="36"/>
      <c r="D27" s="36"/>
      <c r="E27" s="8">
        <v>5</v>
      </c>
      <c r="F27" s="12" t="s">
        <v>26</v>
      </c>
      <c r="G27" s="16" t="str">
        <f t="shared" si="0"/>
        <v/>
      </c>
      <c r="H27" s="17" t="str">
        <f t="shared" si="1"/>
        <v/>
      </c>
      <c r="I27" s="41"/>
      <c r="J27" s="42"/>
    </row>
    <row r="28" spans="1:10" ht="39.950000000000003" customHeight="1" x14ac:dyDescent="0.25">
      <c r="A28" s="9"/>
      <c r="B28" s="35" t="s">
        <v>38</v>
      </c>
      <c r="C28" s="36"/>
      <c r="D28" s="36"/>
      <c r="E28" s="8">
        <v>5</v>
      </c>
      <c r="F28" s="12" t="s">
        <v>26</v>
      </c>
      <c r="G28" s="16" t="str">
        <f t="shared" si="0"/>
        <v/>
      </c>
      <c r="H28" s="17" t="str">
        <f t="shared" si="1"/>
        <v/>
      </c>
      <c r="I28" s="41"/>
      <c r="J28" s="42"/>
    </row>
    <row r="29" spans="1:10" ht="39.950000000000003" customHeight="1" x14ac:dyDescent="0.25">
      <c r="A29" s="9"/>
      <c r="B29" s="35" t="s">
        <v>39</v>
      </c>
      <c r="C29" s="36"/>
      <c r="D29" s="36"/>
      <c r="E29" s="8">
        <v>5</v>
      </c>
      <c r="F29" s="12" t="s">
        <v>26</v>
      </c>
      <c r="G29" s="16" t="str">
        <f t="shared" si="0"/>
        <v/>
      </c>
      <c r="H29" s="17" t="str">
        <f t="shared" si="1"/>
        <v/>
      </c>
      <c r="I29" s="41"/>
      <c r="J29" s="42"/>
    </row>
    <row r="30" spans="1:10" ht="39.950000000000003" customHeight="1" x14ac:dyDescent="0.25">
      <c r="A30" s="9"/>
      <c r="B30" s="35" t="s">
        <v>40</v>
      </c>
      <c r="C30" s="36"/>
      <c r="D30" s="36"/>
      <c r="E30" s="8">
        <v>5</v>
      </c>
      <c r="F30" s="12" t="s">
        <v>26</v>
      </c>
      <c r="G30" s="16" t="str">
        <f t="shared" si="0"/>
        <v/>
      </c>
      <c r="H30" s="17" t="str">
        <f t="shared" si="1"/>
        <v/>
      </c>
      <c r="I30" s="41"/>
      <c r="J30" s="42"/>
    </row>
    <row r="31" spans="1:10" ht="39.950000000000003" customHeight="1" x14ac:dyDescent="0.25">
      <c r="A31" s="9"/>
      <c r="B31" s="35" t="s">
        <v>41</v>
      </c>
      <c r="C31" s="36"/>
      <c r="D31" s="36"/>
      <c r="E31" s="8"/>
      <c r="F31" s="12"/>
      <c r="G31" s="16"/>
      <c r="H31" s="17"/>
      <c r="I31" s="41"/>
      <c r="J31" s="42"/>
    </row>
    <row r="32" spans="1:10" ht="39.950000000000003" customHeight="1" x14ac:dyDescent="0.25">
      <c r="A32" s="9"/>
      <c r="B32" s="35" t="s">
        <v>42</v>
      </c>
      <c r="C32" s="36"/>
      <c r="D32" s="36"/>
      <c r="E32" s="8"/>
      <c r="F32" s="12"/>
      <c r="G32" s="16"/>
      <c r="H32" s="17"/>
      <c r="I32" s="41"/>
      <c r="J32" s="42"/>
    </row>
    <row r="33" spans="1:10" ht="39.950000000000003" customHeight="1" x14ac:dyDescent="0.25">
      <c r="A33" s="9"/>
      <c r="B33" s="33" t="s">
        <v>54</v>
      </c>
      <c r="C33" s="34"/>
      <c r="D33" s="34"/>
      <c r="E33" s="8">
        <v>5</v>
      </c>
      <c r="F33" s="12" t="s">
        <v>26</v>
      </c>
      <c r="G33" s="16" t="str">
        <f t="shared" si="0"/>
        <v/>
      </c>
      <c r="H33" s="17" t="str">
        <f t="shared" si="1"/>
        <v/>
      </c>
      <c r="I33" s="41"/>
      <c r="J33" s="42"/>
    </row>
    <row r="34" spans="1:10" ht="39.950000000000003" customHeight="1" thickBot="1" x14ac:dyDescent="0.3">
      <c r="A34" s="9"/>
      <c r="B34" s="37" t="s">
        <v>55</v>
      </c>
      <c r="C34" s="38"/>
      <c r="D34" s="38"/>
      <c r="E34" s="21">
        <v>5</v>
      </c>
      <c r="F34" s="13" t="s">
        <v>26</v>
      </c>
      <c r="G34" s="22" t="str">
        <f t="shared" si="0"/>
        <v/>
      </c>
      <c r="H34" s="23" t="str">
        <f t="shared" si="1"/>
        <v/>
      </c>
      <c r="I34" s="43"/>
      <c r="J34" s="44"/>
    </row>
    <row r="35" spans="1:10" ht="39.950000000000003" customHeight="1" x14ac:dyDescent="0.25">
      <c r="A35" s="9"/>
      <c r="B35" s="31" t="s">
        <v>43</v>
      </c>
      <c r="C35" s="32"/>
      <c r="D35" s="32"/>
      <c r="E35" s="24"/>
      <c r="F35" s="18"/>
      <c r="G35" s="19"/>
      <c r="H35" s="20"/>
      <c r="I35" s="45"/>
      <c r="J35" s="46"/>
    </row>
    <row r="36" spans="1:10" ht="39.950000000000003" customHeight="1" x14ac:dyDescent="0.25">
      <c r="A36" s="9"/>
      <c r="B36" s="27" t="s">
        <v>56</v>
      </c>
      <c r="C36" s="28"/>
      <c r="D36" s="28"/>
      <c r="E36" s="8">
        <v>5</v>
      </c>
      <c r="F36" s="12" t="s">
        <v>26</v>
      </c>
      <c r="G36" s="16" t="str">
        <f t="shared" si="0"/>
        <v/>
      </c>
      <c r="H36" s="17" t="str">
        <f t="shared" si="1"/>
        <v/>
      </c>
      <c r="I36" s="41"/>
      <c r="J36" s="42"/>
    </row>
    <row r="37" spans="1:10" ht="60" customHeight="1" x14ac:dyDescent="0.25">
      <c r="A37" s="9"/>
      <c r="B37" s="27" t="s">
        <v>57</v>
      </c>
      <c r="C37" s="28"/>
      <c r="D37" s="28"/>
      <c r="E37" s="8">
        <v>5</v>
      </c>
      <c r="F37" s="12" t="s">
        <v>26</v>
      </c>
      <c r="G37" s="16" t="str">
        <f t="shared" si="0"/>
        <v/>
      </c>
      <c r="H37" s="17" t="str">
        <f t="shared" si="1"/>
        <v/>
      </c>
      <c r="I37" s="41"/>
      <c r="J37" s="42"/>
    </row>
    <row r="38" spans="1:10" ht="39.950000000000003" customHeight="1" x14ac:dyDescent="0.25">
      <c r="A38" s="9"/>
      <c r="B38" s="27" t="s">
        <v>58</v>
      </c>
      <c r="C38" s="28"/>
      <c r="D38" s="28"/>
      <c r="E38" s="8">
        <v>5</v>
      </c>
      <c r="F38" s="12" t="s">
        <v>26</v>
      </c>
      <c r="G38" s="16" t="str">
        <f t="shared" si="0"/>
        <v/>
      </c>
      <c r="H38" s="17" t="str">
        <f t="shared" si="1"/>
        <v/>
      </c>
      <c r="I38" s="41"/>
      <c r="J38" s="42"/>
    </row>
    <row r="39" spans="1:10" ht="60" customHeight="1" x14ac:dyDescent="0.25">
      <c r="A39" s="9"/>
      <c r="B39" s="27" t="s">
        <v>59</v>
      </c>
      <c r="C39" s="28"/>
      <c r="D39" s="28"/>
      <c r="E39" s="8">
        <v>5</v>
      </c>
      <c r="F39" s="12" t="s">
        <v>26</v>
      </c>
      <c r="G39" s="16" t="str">
        <f t="shared" si="0"/>
        <v/>
      </c>
      <c r="H39" s="17" t="str">
        <f t="shared" si="1"/>
        <v/>
      </c>
      <c r="I39" s="41"/>
      <c r="J39" s="42"/>
    </row>
    <row r="40" spans="1:10" ht="60" customHeight="1" x14ac:dyDescent="0.25">
      <c r="A40" s="9"/>
      <c r="B40" s="27" t="s">
        <v>60</v>
      </c>
      <c r="C40" s="28"/>
      <c r="D40" s="28"/>
      <c r="E40" s="8">
        <v>5</v>
      </c>
      <c r="F40" s="12" t="s">
        <v>26</v>
      </c>
      <c r="G40" s="16" t="str">
        <f t="shared" si="0"/>
        <v/>
      </c>
      <c r="H40" s="17" t="str">
        <f t="shared" si="1"/>
        <v/>
      </c>
      <c r="I40" s="41"/>
      <c r="J40" s="42"/>
    </row>
    <row r="41" spans="1:10" ht="39.950000000000003" customHeight="1" x14ac:dyDescent="0.25">
      <c r="A41" s="9"/>
      <c r="B41" s="27" t="s">
        <v>61</v>
      </c>
      <c r="C41" s="28"/>
      <c r="D41" s="28"/>
      <c r="E41" s="8">
        <v>5</v>
      </c>
      <c r="F41" s="12" t="s">
        <v>26</v>
      </c>
      <c r="G41" s="16" t="str">
        <f t="shared" si="0"/>
        <v/>
      </c>
      <c r="H41" s="17" t="str">
        <f t="shared" si="1"/>
        <v/>
      </c>
      <c r="I41" s="41"/>
      <c r="J41" s="42"/>
    </row>
    <row r="42" spans="1:10" ht="39.950000000000003" customHeight="1" x14ac:dyDescent="0.25">
      <c r="A42" s="9"/>
      <c r="B42" s="27" t="s">
        <v>62</v>
      </c>
      <c r="C42" s="28"/>
      <c r="D42" s="28"/>
      <c r="E42" s="8">
        <v>5</v>
      </c>
      <c r="F42" s="12" t="s">
        <v>26</v>
      </c>
      <c r="G42" s="16" t="str">
        <f t="shared" si="0"/>
        <v/>
      </c>
      <c r="H42" s="17" t="str">
        <f t="shared" si="1"/>
        <v/>
      </c>
      <c r="I42" s="41"/>
      <c r="J42" s="42"/>
    </row>
    <row r="43" spans="1:10" ht="39.950000000000003" customHeight="1" x14ac:dyDescent="0.25">
      <c r="A43" s="9"/>
      <c r="B43" s="27" t="s">
        <v>63</v>
      </c>
      <c r="C43" s="28"/>
      <c r="D43" s="28"/>
      <c r="E43" s="8">
        <v>5</v>
      </c>
      <c r="F43" s="12" t="s">
        <v>26</v>
      </c>
      <c r="G43" s="16" t="str">
        <f t="shared" si="0"/>
        <v/>
      </c>
      <c r="H43" s="17" t="str">
        <f t="shared" si="1"/>
        <v/>
      </c>
      <c r="I43" s="41"/>
      <c r="J43" s="42"/>
    </row>
    <row r="44" spans="1:10" ht="39.950000000000003" customHeight="1" x14ac:dyDescent="0.25">
      <c r="A44" s="9"/>
      <c r="B44" s="27" t="s">
        <v>64</v>
      </c>
      <c r="C44" s="28"/>
      <c r="D44" s="28"/>
      <c r="E44" s="8">
        <v>5</v>
      </c>
      <c r="F44" s="12" t="s">
        <v>26</v>
      </c>
      <c r="G44" s="16" t="str">
        <f t="shared" si="0"/>
        <v/>
      </c>
      <c r="H44" s="17" t="str">
        <f t="shared" si="1"/>
        <v/>
      </c>
      <c r="I44" s="41"/>
      <c r="J44" s="42"/>
    </row>
    <row r="45" spans="1:10" ht="39.950000000000003" customHeight="1" x14ac:dyDescent="0.25">
      <c r="A45" s="9"/>
      <c r="B45" s="27" t="s">
        <v>65</v>
      </c>
      <c r="C45" s="28"/>
      <c r="D45" s="28"/>
      <c r="E45" s="8">
        <v>5</v>
      </c>
      <c r="F45" s="12" t="s">
        <v>26</v>
      </c>
      <c r="G45" s="16" t="str">
        <f t="shared" si="0"/>
        <v/>
      </c>
      <c r="H45" s="17" t="str">
        <f t="shared" si="1"/>
        <v/>
      </c>
      <c r="I45" s="41"/>
      <c r="J45" s="42"/>
    </row>
    <row r="46" spans="1:10" ht="39.950000000000003" customHeight="1" x14ac:dyDescent="0.25">
      <c r="A46" s="9"/>
      <c r="B46" s="27" t="s">
        <v>66</v>
      </c>
      <c r="C46" s="28"/>
      <c r="D46" s="28"/>
      <c r="E46" s="8">
        <v>5</v>
      </c>
      <c r="F46" s="12" t="s">
        <v>26</v>
      </c>
      <c r="G46" s="16" t="str">
        <f t="shared" si="0"/>
        <v/>
      </c>
      <c r="H46" s="17" t="str">
        <f t="shared" si="1"/>
        <v/>
      </c>
      <c r="I46" s="41"/>
      <c r="J46" s="42"/>
    </row>
    <row r="47" spans="1:10" ht="39.950000000000003" customHeight="1" x14ac:dyDescent="0.25">
      <c r="A47" s="9"/>
      <c r="B47" s="27" t="s">
        <v>67</v>
      </c>
      <c r="C47" s="28"/>
      <c r="D47" s="28"/>
      <c r="E47" s="8">
        <v>5</v>
      </c>
      <c r="F47" s="12" t="s">
        <v>26</v>
      </c>
      <c r="G47" s="16" t="str">
        <f t="shared" si="0"/>
        <v/>
      </c>
      <c r="H47" s="17" t="str">
        <f t="shared" si="1"/>
        <v/>
      </c>
      <c r="I47" s="41"/>
      <c r="J47" s="42"/>
    </row>
    <row r="48" spans="1:10" ht="39.950000000000003" customHeight="1" thickBot="1" x14ac:dyDescent="0.3">
      <c r="A48" s="9"/>
      <c r="B48" s="29" t="s">
        <v>68</v>
      </c>
      <c r="C48" s="30"/>
      <c r="D48" s="30"/>
      <c r="E48" s="21">
        <v>5</v>
      </c>
      <c r="F48" s="13" t="s">
        <v>26</v>
      </c>
      <c r="G48" s="22" t="str">
        <f t="shared" si="0"/>
        <v/>
      </c>
      <c r="H48" s="23" t="str">
        <f t="shared" si="1"/>
        <v/>
      </c>
      <c r="I48" s="43"/>
      <c r="J48" s="44"/>
    </row>
    <row r="49" spans="1:10" ht="30" customHeight="1" thickBot="1" x14ac:dyDescent="0.3">
      <c r="A49" s="3"/>
      <c r="B49" s="47" t="s">
        <v>5</v>
      </c>
      <c r="C49" s="48"/>
      <c r="D49" s="48"/>
      <c r="E49" s="15">
        <f>SUM(E8:E48)</f>
        <v>150</v>
      </c>
      <c r="F49" s="15">
        <f>SUM(F8:F48)</f>
        <v>0</v>
      </c>
      <c r="G49" s="75"/>
      <c r="H49" s="76"/>
      <c r="I49" s="76"/>
      <c r="J49" s="77"/>
    </row>
    <row r="50" spans="1:10" ht="30" customHeight="1" thickBot="1" x14ac:dyDescent="0.3">
      <c r="A50" s="3"/>
      <c r="B50" s="49" t="s">
        <v>20</v>
      </c>
      <c r="C50" s="50"/>
      <c r="D50" s="50"/>
      <c r="E50" s="63">
        <f>F49/E49/100*100</f>
        <v>0</v>
      </c>
      <c r="F50" s="63"/>
      <c r="G50" s="63"/>
      <c r="H50" s="63"/>
      <c r="I50" s="63"/>
      <c r="J50" s="64"/>
    </row>
    <row r="51" spans="1:10" ht="30" customHeight="1" thickBot="1" x14ac:dyDescent="0.3">
      <c r="A51" s="3"/>
      <c r="B51" s="49" t="s">
        <v>21</v>
      </c>
      <c r="C51" s="50"/>
      <c r="D51" s="50"/>
      <c r="E51" s="55" t="str">
        <f>_xlfn.IFS(E50&gt;=90%,"ممتاز",E50&gt;=80%,"جيد جداً",E50&gt;=70%,"جيد",E50&gt;=60%,"مقبول",E50&lt;60%,"راسب")</f>
        <v>راسب</v>
      </c>
      <c r="F51" s="55"/>
      <c r="G51" s="55"/>
      <c r="H51" s="55"/>
      <c r="I51" s="55"/>
      <c r="J51" s="56"/>
    </row>
    <row r="52" spans="1:10" ht="42" customHeight="1" x14ac:dyDescent="0.25">
      <c r="B52" s="51" t="s">
        <v>27</v>
      </c>
      <c r="C52" s="51"/>
      <c r="D52" s="51"/>
      <c r="E52" s="73" t="s">
        <v>18</v>
      </c>
      <c r="F52" s="73"/>
      <c r="G52" s="53" t="s">
        <v>24</v>
      </c>
      <c r="H52" s="53"/>
      <c r="I52" s="53"/>
      <c r="J52" s="53"/>
    </row>
    <row r="53" spans="1:10" ht="51" customHeight="1" x14ac:dyDescent="0.25">
      <c r="A53" s="4"/>
      <c r="B53" s="52"/>
      <c r="C53" s="52"/>
      <c r="D53" s="52"/>
      <c r="E53" s="74" t="s">
        <v>19</v>
      </c>
      <c r="F53" s="74"/>
      <c r="G53" s="54"/>
      <c r="H53" s="54"/>
      <c r="I53" s="54"/>
      <c r="J53" s="54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103">
    <mergeCell ref="B1:J1"/>
    <mergeCell ref="F2:J2"/>
    <mergeCell ref="B5:D6"/>
    <mergeCell ref="C2:D2"/>
    <mergeCell ref="C3:D3"/>
    <mergeCell ref="F3:J3"/>
    <mergeCell ref="E50:J50"/>
    <mergeCell ref="B7:D7"/>
    <mergeCell ref="I38:J38"/>
    <mergeCell ref="I39:J39"/>
    <mergeCell ref="I30:J30"/>
    <mergeCell ref="I31:J31"/>
    <mergeCell ref="E5:H5"/>
    <mergeCell ref="I37:J37"/>
    <mergeCell ref="I5:J6"/>
    <mergeCell ref="I7:J7"/>
    <mergeCell ref="I10:J10"/>
    <mergeCell ref="I19:J19"/>
    <mergeCell ref="I20:J20"/>
    <mergeCell ref="I21:J21"/>
    <mergeCell ref="I22:J22"/>
    <mergeCell ref="I23:J23"/>
    <mergeCell ref="I24:J24"/>
    <mergeCell ref="I25:J25"/>
    <mergeCell ref="B52:D53"/>
    <mergeCell ref="G52:J52"/>
    <mergeCell ref="G53:J53"/>
    <mergeCell ref="E51:J51"/>
    <mergeCell ref="I40:J40"/>
    <mergeCell ref="I41:J41"/>
    <mergeCell ref="I42:J42"/>
    <mergeCell ref="I43:J43"/>
    <mergeCell ref="I44:J44"/>
    <mergeCell ref="I45:J45"/>
    <mergeCell ref="I46:J46"/>
    <mergeCell ref="I47:J47"/>
    <mergeCell ref="I48:J48"/>
    <mergeCell ref="E52:F52"/>
    <mergeCell ref="E53:F53"/>
    <mergeCell ref="G49:J49"/>
    <mergeCell ref="I32:J32"/>
    <mergeCell ref="I33:J33"/>
    <mergeCell ref="I34:J34"/>
    <mergeCell ref="I35:J35"/>
    <mergeCell ref="I36:J36"/>
    <mergeCell ref="I8:J8"/>
    <mergeCell ref="B49:D49"/>
    <mergeCell ref="B50:D50"/>
    <mergeCell ref="B51:D51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26:J26"/>
    <mergeCell ref="I27:J27"/>
    <mergeCell ref="I9:J9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44:D44"/>
    <mergeCell ref="B45:D45"/>
    <mergeCell ref="B46:D46"/>
    <mergeCell ref="B47:D47"/>
    <mergeCell ref="B48:D48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</mergeCells>
  <conditionalFormatting sqref="E51">
    <cfRule type="expression" dxfId="23" priority="57">
      <formula>$E51="راسب"</formula>
    </cfRule>
  </conditionalFormatting>
  <conditionalFormatting sqref="E51:J51">
    <cfRule type="expression" dxfId="22" priority="58">
      <formula>$E51="مقبول"</formula>
    </cfRule>
    <cfRule type="expression" dxfId="21" priority="59">
      <formula>$E51="جيد"</formula>
    </cfRule>
    <cfRule type="expression" dxfId="20" priority="60">
      <formula>$E51="جيد جداً"</formula>
    </cfRule>
    <cfRule type="expression" dxfId="19" priority="61">
      <formula>$E51="ممتاز"</formula>
    </cfRule>
  </conditionalFormatting>
  <conditionalFormatting sqref="H8 H10:H48">
    <cfRule type="containsText" dxfId="18" priority="39" operator="containsText" text="ممتاز">
      <formula>NOT(ISERROR(SEARCH("ممتاز",H8)))</formula>
    </cfRule>
    <cfRule type="containsText" dxfId="17" priority="40" operator="containsText" text="جيد جداً">
      <formula>NOT(ISERROR(SEARCH("جيد جداً",H8)))</formula>
    </cfRule>
    <cfRule type="containsText" dxfId="16" priority="41" operator="containsText" text="جيد">
      <formula>NOT(ISERROR(SEARCH("جيد",H8)))</formula>
    </cfRule>
    <cfRule type="containsText" dxfId="15" priority="42" operator="containsText" text="مقبول">
      <formula>NOT(ISERROR(SEARCH("مقبول",H8)))</formula>
    </cfRule>
    <cfRule type="containsText" dxfId="14" priority="43" operator="containsText" text="راسب">
      <formula>NOT(ISERROR(SEARCH("راسب",H8)))</formula>
    </cfRule>
  </conditionalFormatting>
  <conditionalFormatting sqref="H8 H10:H48">
    <cfRule type="containsText" dxfId="13" priority="38" operator="containsText" text="أدخل العلامة">
      <formula>NOT(ISERROR(SEARCH("أدخل العلامة",H8)))</formula>
    </cfRule>
  </conditionalFormatting>
  <conditionalFormatting sqref="F2:J2">
    <cfRule type="containsText" dxfId="12" priority="19" operator="containsText" text="أدخل التاريخ">
      <formula>NOT(ISERROR(SEARCH("أدخل التاريخ",F2)))</formula>
    </cfRule>
  </conditionalFormatting>
  <conditionalFormatting sqref="C2:D2">
    <cfRule type="containsText" dxfId="11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0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F3:J3">
    <cfRule type="containsText" dxfId="9" priority="16" operator="containsText" text="أدخل أسم المحكم">
      <formula>NOT(ISERROR(SEARCH("أدخل أسم المحكم",F3)))</formula>
    </cfRule>
  </conditionalFormatting>
  <conditionalFormatting sqref="G52:J52">
    <cfRule type="containsText" dxfId="8" priority="15" operator="containsText" text="أدخل اسم المحكم">
      <formula>NOT(ISERROR(SEARCH("أدخل اسم المحكم",G52)))</formula>
    </cfRule>
  </conditionalFormatting>
  <conditionalFormatting sqref="F8 F10:F48">
    <cfRule type="containsText" dxfId="7" priority="14" operator="containsText" text="أدخل العلامة">
      <formula>NOT(ISERROR(SEARCH("أدخل العلامة",F8)))</formula>
    </cfRule>
  </conditionalFormatting>
  <conditionalFormatting sqref="H9">
    <cfRule type="containsText" dxfId="6" priority="6" operator="containsText" text="ممتاز">
      <formula>NOT(ISERROR(SEARCH("ممتاز",H9)))</formula>
    </cfRule>
    <cfRule type="containsText" dxfId="5" priority="7" operator="containsText" text="جيد جداً">
      <formula>NOT(ISERROR(SEARCH("جيد جداً",H9)))</formula>
    </cfRule>
    <cfRule type="containsText" dxfId="4" priority="8" operator="containsText" text="جيد">
      <formula>NOT(ISERROR(SEARCH("جيد",H9)))</formula>
    </cfRule>
    <cfRule type="containsText" dxfId="3" priority="9" operator="containsText" text="مقبول">
      <formula>NOT(ISERROR(SEARCH("مقبول",H9)))</formula>
    </cfRule>
    <cfRule type="containsText" dxfId="2" priority="10" operator="containsText" text="راسب">
      <formula>NOT(ISERROR(SEARCH("راسب",H9)))</formula>
    </cfRule>
  </conditionalFormatting>
  <conditionalFormatting sqref="H9">
    <cfRule type="containsText" dxfId="1" priority="5" operator="containsText" text="أدخل العلامة">
      <formula>NOT(ISERROR(SEARCH("أدخل العلامة",H9)))</formula>
    </cfRule>
  </conditionalFormatting>
  <conditionalFormatting sqref="F9">
    <cfRule type="containsText" dxfId="0" priority="4" operator="containsText" text="أدخل العلامة">
      <formula>NOT(ISERROR(SEARCH("أدخل العلامة",F9)))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5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#REF!</xm:f>
          </x14:formula1>
          <xm:sqref>F2:J2</xm:sqref>
        </x14:dataValidation>
        <x14:dataValidation type="list" allowBlank="1" showInputMessage="1" showErrorMessage="1">
          <x14:formula1>
            <xm:f>#REF!</xm:f>
          </x14:formula1>
          <xm:sqref>C2:D2</xm:sqref>
        </x14:dataValidation>
        <x14:dataValidation type="list" allowBlank="1" showInputMessage="1" showErrorMessage="1">
          <x14:formula1>
            <xm:f>#REF!</xm:f>
          </x14:formula1>
          <xm:sqref>F36:F48 F33:F34 F27:F30 F23:F25 F19:F20 F13:F17 F11</xm:sqref>
        </x14:dataValidation>
        <x14:dataValidation type="list" allowBlank="1" showInputMessage="1" showErrorMessage="1">
          <x14:formula1>
            <xm:f>#REF!</xm:f>
          </x14:formula1>
          <xm:sqref>G52:J52 F3:J3</xm:sqref>
        </x14:dataValidation>
        <x14:dataValidation type="list" allowBlank="1" showInputMessage="1" showErrorMessage="1">
          <x14:formula1>
            <xm:f>#REF!</xm:f>
          </x14:formula1>
          <xm:sqref>C3:D3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قائمة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2026-08-30T05:13:03Z</dcterms:modified>
</cp:coreProperties>
</file>